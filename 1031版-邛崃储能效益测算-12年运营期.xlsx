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1190" tabRatio="640" firstSheet="4" activeTab="12"/>
  </bookViews>
  <sheets>
    <sheet name="输入参数" sheetId="10" r:id="rId1"/>
    <sheet name="手动输入参数表" sheetId="18" r:id="rId2"/>
    <sheet name="分类折旧" sheetId="14" r:id="rId3"/>
    <sheet name="参数汇总表" sheetId="8" state="hidden" r:id="rId4"/>
    <sheet name="静态总投" sheetId="24" r:id="rId5"/>
    <sheet name="财务指标及评价" sheetId="11" r:id="rId6"/>
    <sheet name="交易电价" sheetId="22" state="hidden" r:id="rId7"/>
    <sheet name="运维费" sheetId="13" r:id="rId8"/>
    <sheet name="其他费用计算" sheetId="19" state="hidden" r:id="rId9"/>
    <sheet name="人工成本" sheetId="21" state="hidden" r:id="rId10"/>
    <sheet name="表1-投资计划与资金筹措表" sheetId="1" r:id="rId11"/>
    <sheet name="表2-利润与利润分配表" sheetId="2" r:id="rId12"/>
    <sheet name="表3-项目现金流量表" sheetId="3" r:id="rId13"/>
    <sheet name="表4-资本金现金流量表" sheetId="4" r:id="rId14"/>
    <sheet name="表5-借款还本付息表" sheetId="5" r:id="rId15"/>
    <sheet name="表6-运营成本费用表" sheetId="6" r:id="rId16"/>
  </sheets>
  <definedNames>
    <definedName name="_xlnm._FilterDatabase" localSheetId="15" hidden="1">'表6-运营成本费用表'!$A$3:$HM$18</definedName>
    <definedName name="_Hlk42425552" localSheetId="0">输入参数!$B$2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6" authorId="0">
      <text>
        <r>
          <rPr>
            <sz val="9"/>
            <rFont val="宋体"/>
            <charset val="134"/>
          </rPr>
          <t>Administrator:
此数据青海项目暂时无未抵扣亏损。</t>
        </r>
      </text>
    </comment>
    <comment ref="E40" authorId="0">
      <text>
        <r>
          <rPr>
            <sz val="9"/>
            <rFont val="宋体"/>
            <charset val="134"/>
          </rPr>
          <t>Administrator:
此处法定盈余被剔除。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<sst xmlns="http://schemas.openxmlformats.org/spreadsheetml/2006/main" count="1214" uniqueCount="697">
  <si>
    <t>效益测算输入参数表</t>
  </si>
  <si>
    <t>参数类别</t>
  </si>
  <si>
    <t>序号</t>
  </si>
  <si>
    <t>指标名称</t>
  </si>
  <si>
    <t>数值</t>
  </si>
  <si>
    <t>备注</t>
  </si>
  <si>
    <t>关键参数</t>
  </si>
  <si>
    <t>静态总投资（万元）</t>
  </si>
  <si>
    <t>首年理论上网小时数（小时）</t>
  </si>
  <si>
    <t>限电率</t>
  </si>
  <si>
    <t>首年上网小时数（小时）</t>
  </si>
  <si>
    <t>不参与交易上网小时数</t>
  </si>
  <si>
    <t>参与交易上网小时数</t>
  </si>
  <si>
    <t>电价（元/千瓦时）</t>
  </si>
  <si>
    <t>是否考虑交易</t>
  </si>
  <si>
    <t>是</t>
  </si>
  <si>
    <t>项目所在省份</t>
  </si>
  <si>
    <t>其他</t>
  </si>
  <si>
    <t>根据项目所在省份确定电价折减。</t>
  </si>
  <si>
    <t>交易折减</t>
  </si>
  <si>
    <t>折减数据参考手册数据，其他省份交易折减数据请手动填入。</t>
  </si>
  <si>
    <t>交易电价（元/千瓦时）</t>
  </si>
  <si>
    <t>充电电价（元/千瓦时）</t>
  </si>
  <si>
    <t>电价差(元/千瓦时)</t>
  </si>
  <si>
    <t>调度次数</t>
  </si>
  <si>
    <t>必要参数</t>
  </si>
  <si>
    <t>电化学储能装机容量（万千瓦）</t>
  </si>
  <si>
    <t>电化学储能时长（小时）</t>
  </si>
  <si>
    <t>还款方式</t>
  </si>
  <si>
    <t>等额本息</t>
  </si>
  <si>
    <t xml:space="preserve"> </t>
  </si>
  <si>
    <t>长期借款利率</t>
  </si>
  <si>
    <t>两个细则考核</t>
  </si>
  <si>
    <t>可抵扣增值税进项税（万元）</t>
  </si>
  <si>
    <t>当采用直线折旧时，使用总投资进行估算，当采用分类折旧时，根据折旧情况计算。</t>
  </si>
  <si>
    <t>折旧方式</t>
  </si>
  <si>
    <t>分类折旧</t>
  </si>
  <si>
    <t>采用分类折旧法时，应在分类折旧表格中填写各类资产原值。</t>
  </si>
  <si>
    <t>送出条件</t>
  </si>
  <si>
    <t>包含20km以内高压送出线路及对侧间隔</t>
  </si>
  <si>
    <t>送出线路电压</t>
  </si>
  <si>
    <t>330kV以下</t>
  </si>
  <si>
    <t>运维费</t>
  </si>
  <si>
    <t>按参数取值</t>
  </si>
  <si>
    <t>选择手动输入时，具体金额填入手动输入参数表。</t>
  </si>
  <si>
    <t>是否为续建项目</t>
  </si>
  <si>
    <t>否</t>
  </si>
  <si>
    <t>自动计算定员。</t>
  </si>
  <si>
    <t>原有项目规模</t>
  </si>
  <si>
    <t>定员（人）</t>
  </si>
  <si>
    <t>人工成本（万元/人）</t>
  </si>
  <si>
    <t>本单位已投运、在建项目规模（万千瓦）</t>
  </si>
  <si>
    <t>其他费用（万元）</t>
  </si>
  <si>
    <t>保险费率</t>
  </si>
  <si>
    <t>销售税金及附加税率</t>
  </si>
  <si>
    <t>邛崃市城市维护建设税7%+其他附加税5%</t>
  </si>
  <si>
    <t>所得税税率</t>
  </si>
  <si>
    <t>享受西部大开发优惠政策</t>
  </si>
  <si>
    <t>可选参数</t>
  </si>
  <si>
    <t>土地费用（万元）</t>
  </si>
  <si>
    <t>如每年金额不同，此处填0，具体金额填入手动输入参数表。</t>
  </si>
  <si>
    <t>应列未列的其他成本费用</t>
  </si>
  <si>
    <t>-</t>
  </si>
  <si>
    <t>如存在应列未列的其他成本费用，请根据实际情况在手动输入参数表填写。</t>
  </si>
  <si>
    <t>增值税补贴收入</t>
  </si>
  <si>
    <t>有</t>
  </si>
  <si>
    <t>如有增值税补贴收入，填“有”。</t>
  </si>
  <si>
    <t>评价结论</t>
  </si>
  <si>
    <t>注意事项</t>
  </si>
  <si>
    <t>1.采用分类折旧时，将固定资产分类情况填入分类折旧表。
2.如土地费用每年金额不同，请将每年对应的数据填入手动输入参数表。</t>
  </si>
  <si>
    <t>西部大开发</t>
  </si>
  <si>
    <t>原有规模定员计算</t>
  </si>
  <si>
    <t>规模合计（万千瓦）</t>
  </si>
  <si>
    <t>规模合计定员</t>
  </si>
  <si>
    <t>续建项目定员</t>
  </si>
  <si>
    <t>建设期</t>
  </si>
  <si>
    <t>计算期</t>
  </si>
  <si>
    <t>第1年</t>
  </si>
  <si>
    <t>第2年</t>
  </si>
  <si>
    <t>第3年</t>
  </si>
  <si>
    <t>第4年</t>
  </si>
  <si>
    <t>第5年</t>
  </si>
  <si>
    <t>第6年</t>
  </si>
  <si>
    <t>第7年</t>
  </si>
  <si>
    <t>第8年</t>
  </si>
  <si>
    <t>第9年</t>
  </si>
  <si>
    <t>第10年</t>
  </si>
  <si>
    <t>第11年</t>
  </si>
  <si>
    <t>第12年</t>
  </si>
  <si>
    <t>第13年</t>
  </si>
  <si>
    <t>上网电量（万千瓦时）</t>
  </si>
  <si>
    <t>折旧费（万元/年）</t>
  </si>
  <si>
    <t>运维费（万元/年）</t>
  </si>
  <si>
    <t>土地使用税及房产税（万元/年）</t>
  </si>
  <si>
    <t>调度次数(次数)</t>
  </si>
  <si>
    <t>初始容量（万千瓦时）</t>
  </si>
  <si>
    <t>容量保持率</t>
  </si>
  <si>
    <t>充电电量（万千瓦时）</t>
  </si>
  <si>
    <t>充电电费（万元）</t>
  </si>
  <si>
    <t>固定资产折旧政策情况表</t>
  </si>
  <si>
    <t>财管11表</t>
  </si>
  <si>
    <t>请根据项目情况填写设备费、安装费、主材费</t>
  </si>
  <si>
    <t>编制单位：都城伟业集团有限公司</t>
  </si>
  <si>
    <t xml:space="preserve">         2018年12月31日</t>
  </si>
  <si>
    <t>单位：元</t>
  </si>
  <si>
    <t>资产原值</t>
  </si>
  <si>
    <t>固定资产分类</t>
  </si>
  <si>
    <t>行次</t>
  </si>
  <si>
    <t>折旧年限</t>
  </si>
  <si>
    <t>折旧方法</t>
  </si>
  <si>
    <t>折旧率（%）</t>
  </si>
  <si>
    <t>净残值率（%）</t>
  </si>
  <si>
    <t>设备费</t>
  </si>
  <si>
    <t>安装费</t>
  </si>
  <si>
    <t>主材费</t>
  </si>
  <si>
    <t>合计</t>
  </si>
  <si>
    <t>折旧</t>
  </si>
  <si>
    <t>一、输电线路</t>
  </si>
  <si>
    <t>1</t>
  </si>
  <si>
    <t>　　1、架空输电线路</t>
  </si>
  <si>
    <t>2</t>
  </si>
  <si>
    <t>年限平均法</t>
  </si>
  <si>
    <t>220kV送出工程</t>
  </si>
  <si>
    <t>　　2、电缆输电线路</t>
  </si>
  <si>
    <t>3</t>
  </si>
  <si>
    <t>二、变电设备</t>
  </si>
  <si>
    <t>4</t>
  </si>
  <si>
    <t>　　1、变压器</t>
  </si>
  <si>
    <t>5</t>
  </si>
  <si>
    <t>升压站工程</t>
  </si>
  <si>
    <t>　　2、换流设备</t>
  </si>
  <si>
    <t>6</t>
  </si>
  <si>
    <t>　　　（1）一次设备</t>
  </si>
  <si>
    <t>7</t>
  </si>
  <si>
    <t>　　　（2）二次设备</t>
  </si>
  <si>
    <t>8</t>
  </si>
  <si>
    <t>　　　（3）辅助设备</t>
  </si>
  <si>
    <t>9</t>
  </si>
  <si>
    <t>　　3、电气一般设备</t>
  </si>
  <si>
    <t>10</t>
  </si>
  <si>
    <t>　　4、电力电缆</t>
  </si>
  <si>
    <t>11</t>
  </si>
  <si>
    <t>三、配电线路及设备</t>
  </si>
  <si>
    <t>12</t>
  </si>
  <si>
    <t>　　1、配电线路</t>
  </si>
  <si>
    <t>13</t>
  </si>
  <si>
    <t>　　2、配电设备</t>
  </si>
  <si>
    <t>14</t>
  </si>
  <si>
    <t>　　3、电动汽车充换电设备</t>
  </si>
  <si>
    <t>15</t>
  </si>
  <si>
    <t>　　　　其中：电池</t>
  </si>
  <si>
    <t>16</t>
  </si>
  <si>
    <t>四、用电计量设备</t>
  </si>
  <si>
    <t>17</t>
  </si>
  <si>
    <t>五、通讯线路及设备</t>
  </si>
  <si>
    <t>18</t>
  </si>
  <si>
    <t>　　1、通讯线路</t>
  </si>
  <si>
    <t>19</t>
  </si>
  <si>
    <t>　　2、通讯设备</t>
  </si>
  <si>
    <t>20</t>
  </si>
  <si>
    <t>六、自动化控制设备、信息设备及仪器仪表</t>
  </si>
  <si>
    <t>21</t>
  </si>
  <si>
    <t>　　1、继电保护及安全自动装置</t>
  </si>
  <si>
    <t>22</t>
  </si>
  <si>
    <t>　　2、自动化系统及设备</t>
  </si>
  <si>
    <t>23</t>
  </si>
  <si>
    <t>　　3、其他控制和保护设备</t>
  </si>
  <si>
    <t>24</t>
  </si>
  <si>
    <t>　　4、信息系统设备</t>
  </si>
  <si>
    <t>25</t>
  </si>
  <si>
    <t>　　5、仪器仪表及测试设备</t>
  </si>
  <si>
    <t>26</t>
  </si>
  <si>
    <t>七、发电及供热设备</t>
  </si>
  <si>
    <t>27</t>
  </si>
  <si>
    <t>　　1、输煤设备</t>
  </si>
  <si>
    <t>28</t>
  </si>
  <si>
    <t>　　2、煤粉设备</t>
  </si>
  <si>
    <t>29</t>
  </si>
  <si>
    <t>　　3、输油设备</t>
  </si>
  <si>
    <t>30</t>
  </si>
  <si>
    <t>　　4、锅炉设备</t>
  </si>
  <si>
    <t>31</t>
  </si>
  <si>
    <t>　　5、排污及疏水设备</t>
  </si>
  <si>
    <t>32</t>
  </si>
  <si>
    <t>　　6、烟气脱硫（硝）设备</t>
  </si>
  <si>
    <t>33</t>
  </si>
  <si>
    <t>　　7、除灰除尘设备</t>
  </si>
  <si>
    <t>34</t>
  </si>
  <si>
    <t>　　8、化学水处理设备</t>
  </si>
  <si>
    <t>35</t>
  </si>
  <si>
    <t>　　9、制氢设备</t>
  </si>
  <si>
    <t>36</t>
  </si>
  <si>
    <t>　　10、供热管道及设备</t>
  </si>
  <si>
    <t>37</t>
  </si>
  <si>
    <t>　　11、汽轮发电机组</t>
  </si>
  <si>
    <t>38</t>
  </si>
  <si>
    <t>　　12、水轮发电机组</t>
  </si>
  <si>
    <t>39</t>
  </si>
  <si>
    <t>　　13、内燃发电机组</t>
  </si>
  <si>
    <t>40</t>
  </si>
  <si>
    <t>　　14、其他发电设备</t>
  </si>
  <si>
    <t>41</t>
  </si>
  <si>
    <t>储能系统</t>
  </si>
  <si>
    <t>八、水工机械设备</t>
  </si>
  <si>
    <t>44</t>
  </si>
  <si>
    <t>九、制造及检修维护设备</t>
  </si>
  <si>
    <t>45</t>
  </si>
  <si>
    <t>　　1、机床设备</t>
  </si>
  <si>
    <t>46</t>
  </si>
  <si>
    <t>　　2、锻压设备</t>
  </si>
  <si>
    <t>47</t>
  </si>
  <si>
    <t>　　3、起重设备</t>
  </si>
  <si>
    <t>48</t>
  </si>
  <si>
    <t>　　4、铸造设备</t>
  </si>
  <si>
    <t>49</t>
  </si>
  <si>
    <t>　　5、电镀及热处理设备</t>
  </si>
  <si>
    <t>50</t>
  </si>
  <si>
    <t>　　6、焊接设备</t>
  </si>
  <si>
    <t>51</t>
  </si>
  <si>
    <t>　　7、土木建筑设备</t>
  </si>
  <si>
    <t>52</t>
  </si>
  <si>
    <t>　　8、水工维护设备</t>
  </si>
  <si>
    <t>53</t>
  </si>
  <si>
    <t>　　9、材料试验设备</t>
  </si>
  <si>
    <t>54</t>
  </si>
  <si>
    <t>　　10、其他检修维护设备</t>
  </si>
  <si>
    <t>55</t>
  </si>
  <si>
    <t>十、生产管理用工器具</t>
  </si>
  <si>
    <t>56</t>
  </si>
  <si>
    <t>十一、运输设备</t>
  </si>
  <si>
    <t>57</t>
  </si>
  <si>
    <t>　　1、铁路运输设备</t>
  </si>
  <si>
    <t>58</t>
  </si>
  <si>
    <t>　　2、水上运输设备</t>
  </si>
  <si>
    <t>59</t>
  </si>
  <si>
    <t>　　3、汽车运输设备</t>
  </si>
  <si>
    <t>60</t>
  </si>
  <si>
    <t>　　4、空运设备</t>
  </si>
  <si>
    <t>61</t>
  </si>
  <si>
    <t>　　5、其他运输设备</t>
  </si>
  <si>
    <t>62</t>
  </si>
  <si>
    <t>十二、辅助生产用设备及器具</t>
  </si>
  <si>
    <t>63</t>
  </si>
  <si>
    <t>十三、房屋</t>
  </si>
  <si>
    <t>64</t>
  </si>
  <si>
    <t>　　1、生产及管理用房屋</t>
  </si>
  <si>
    <t>65</t>
  </si>
  <si>
    <t>建安工程费+土建措施费</t>
  </si>
  <si>
    <t>　　2、受腐蚀生产用房屋</t>
  </si>
  <si>
    <t>66</t>
  </si>
  <si>
    <t>　　3、辅助生产用房屋</t>
  </si>
  <si>
    <t>67</t>
  </si>
  <si>
    <t>　　4、简易房</t>
  </si>
  <si>
    <t>68</t>
  </si>
  <si>
    <t>十四、建筑物</t>
  </si>
  <si>
    <t>69</t>
  </si>
  <si>
    <t>　　1、水电站大坝</t>
  </si>
  <si>
    <t>70</t>
  </si>
  <si>
    <t>　　2、其他生产用建筑物</t>
  </si>
  <si>
    <t>71</t>
  </si>
  <si>
    <t>　　3、辅助生产用建筑物</t>
  </si>
  <si>
    <t>72</t>
  </si>
  <si>
    <t>十五、其它费用</t>
  </si>
  <si>
    <t>73</t>
  </si>
  <si>
    <t>前期费、其他费用及业主费用</t>
  </si>
  <si>
    <t>十六、建设期利息、基本预备费（不含税）</t>
  </si>
  <si>
    <t>74</t>
  </si>
  <si>
    <t>动态总投资</t>
  </si>
  <si>
    <t>资产原值合计</t>
  </si>
  <si>
    <t>合计折旧</t>
  </si>
  <si>
    <t>进项税</t>
  </si>
  <si>
    <t>第1-5年折旧</t>
  </si>
  <si>
    <t>第6年折旧</t>
  </si>
  <si>
    <t>第7年折旧</t>
  </si>
  <si>
    <t>第8年折旧</t>
  </si>
  <si>
    <t>第9-10年折旧</t>
  </si>
  <si>
    <t>第11-12年折旧</t>
  </si>
  <si>
    <t>第13-18年折旧</t>
  </si>
  <si>
    <t>第19-20年折旧</t>
  </si>
  <si>
    <t>第21-30年折旧</t>
  </si>
  <si>
    <t>注意：此表中动态总投资应和总概算表一致。蓝色填充的两处折旧合计值应一致。否则说明数据引用有误。</t>
  </si>
  <si>
    <t>参数汇总表</t>
  </si>
  <si>
    <t>项目</t>
  </si>
  <si>
    <t>单位</t>
  </si>
  <si>
    <t>一</t>
  </si>
  <si>
    <t>工程概况</t>
  </si>
  <si>
    <t>装机容量</t>
  </si>
  <si>
    <t>万千瓦</t>
  </si>
  <si>
    <t>工期</t>
  </si>
  <si>
    <t>月</t>
  </si>
  <si>
    <t>项目运行期</t>
  </si>
  <si>
    <t>年</t>
  </si>
  <si>
    <t>二</t>
  </si>
  <si>
    <t>投资类参数</t>
  </si>
  <si>
    <t>静态投资</t>
  </si>
  <si>
    <t>万元</t>
  </si>
  <si>
    <t>动态投资</t>
  </si>
  <si>
    <t>资本金比例</t>
  </si>
  <si>
    <t>%</t>
  </si>
  <si>
    <t>可抵扣税金</t>
  </si>
  <si>
    <t>流动资金单位千瓦指标</t>
  </si>
  <si>
    <t>元/kW</t>
  </si>
  <si>
    <t>三</t>
  </si>
  <si>
    <t>成本类参数</t>
  </si>
  <si>
    <t xml:space="preserve">还款期限 </t>
  </si>
  <si>
    <t>还本付息方式</t>
  </si>
  <si>
    <t>　</t>
  </si>
  <si>
    <t xml:space="preserve">长期贷款利率 </t>
  </si>
  <si>
    <t xml:space="preserve">流动资金贷款利率 </t>
  </si>
  <si>
    <t xml:space="preserve">折旧年限 </t>
  </si>
  <si>
    <t xml:space="preserve">残值率 </t>
  </si>
  <si>
    <t>维修费</t>
  </si>
  <si>
    <t>万元/年</t>
  </si>
  <si>
    <t>人工成本</t>
  </si>
  <si>
    <t xml:space="preserve">定员标准 </t>
  </si>
  <si>
    <t>人</t>
  </si>
  <si>
    <t xml:space="preserve">人均年工资 </t>
  </si>
  <si>
    <t xml:space="preserve">综合福利费 </t>
  </si>
  <si>
    <t xml:space="preserve">保险费 </t>
  </si>
  <si>
    <t xml:space="preserve">材料费 </t>
  </si>
  <si>
    <t>元/kW/年</t>
  </si>
  <si>
    <t xml:space="preserve">其他费用 </t>
  </si>
  <si>
    <t>其他费用1</t>
  </si>
  <si>
    <t>外购电费</t>
  </si>
  <si>
    <t>土地使用费</t>
  </si>
  <si>
    <t>四</t>
  </si>
  <si>
    <t>收益类参数</t>
  </si>
  <si>
    <t xml:space="preserve">上网电价（含增值税） </t>
  </si>
  <si>
    <t>元/kWh</t>
  </si>
  <si>
    <t>年等效利用小时数</t>
  </si>
  <si>
    <t>h</t>
  </si>
  <si>
    <t xml:space="preserve">增值税税率 </t>
  </si>
  <si>
    <t xml:space="preserve">所得税税率 </t>
  </si>
  <si>
    <t xml:space="preserve">城市维护建设税 </t>
  </si>
  <si>
    <t xml:space="preserve">教育费附加 </t>
  </si>
  <si>
    <t xml:space="preserve">增值税即征即退50% </t>
  </si>
  <si>
    <t xml:space="preserve">所得税N免N减半 </t>
  </si>
  <si>
    <t>补贴收入（含可抵扣税金）</t>
  </si>
  <si>
    <t>名称</t>
  </si>
  <si>
    <t>单价（元/Wh）</t>
  </si>
  <si>
    <t>金额（万元）</t>
  </si>
  <si>
    <t>设备费总计</t>
  </si>
  <si>
    <t>元/Wh</t>
  </si>
  <si>
    <t>含电池抽检及验收费</t>
  </si>
  <si>
    <t>220kV升压站设备费</t>
  </si>
  <si>
    <t>220kV送出工程设备费</t>
  </si>
  <si>
    <t>暂列</t>
  </si>
  <si>
    <t>建筑安装工程费</t>
  </si>
  <si>
    <t>建安费总计</t>
  </si>
  <si>
    <t>储能+升压站建筑工程费（不含土建措施费）</t>
  </si>
  <si>
    <t>土建整体措施</t>
  </si>
  <si>
    <t>未知项目用地范围岩土情况，暂列</t>
  </si>
  <si>
    <t>储能+升压站安装费</t>
  </si>
  <si>
    <t>220kV送出线路建安</t>
  </si>
  <si>
    <t>对侧间隔扩建</t>
  </si>
  <si>
    <t>拟接入500kV变电站的220kV侧，设备均新上。按不站外扩建考虑。</t>
  </si>
  <si>
    <t>前期专题</t>
  </si>
  <si>
    <t>本体项目前期费</t>
  </si>
  <si>
    <t>按主要专题考虑，未知用地情况，部分特殊专题未计列。</t>
  </si>
  <si>
    <t>3.1.1</t>
  </si>
  <si>
    <t>勘测定界</t>
  </si>
  <si>
    <t>3.1.2</t>
  </si>
  <si>
    <t>环评</t>
  </si>
  <si>
    <t>3.1.3</t>
  </si>
  <si>
    <t>水保</t>
  </si>
  <si>
    <t>3.1.5</t>
  </si>
  <si>
    <t>地灾</t>
  </si>
  <si>
    <t>3.1.6</t>
  </si>
  <si>
    <t>安评</t>
  </si>
  <si>
    <t>3.1.8</t>
  </si>
  <si>
    <t>地震安全</t>
  </si>
  <si>
    <t>3.1.9</t>
  </si>
  <si>
    <t>安全、卫生、职业健康等设计专篇</t>
  </si>
  <si>
    <t>3.1.10</t>
  </si>
  <si>
    <t>规划选址</t>
  </si>
  <si>
    <t>3.1.12</t>
  </si>
  <si>
    <t>本体可研（含第三方评审费10万元）</t>
  </si>
  <si>
    <t>3.1.13</t>
  </si>
  <si>
    <t>接入系统、电能质量</t>
  </si>
  <si>
    <t>送出工程前期费</t>
  </si>
  <si>
    <t>3.2.1</t>
  </si>
  <si>
    <t>社稳</t>
  </si>
  <si>
    <t>3.2.2</t>
  </si>
  <si>
    <t>3.2.3</t>
  </si>
  <si>
    <t>3.2.4</t>
  </si>
  <si>
    <t>林地</t>
  </si>
  <si>
    <t>3.2.5</t>
  </si>
  <si>
    <t>3.2.6</t>
  </si>
  <si>
    <t>安全评价</t>
  </si>
  <si>
    <t>3.2.7</t>
  </si>
  <si>
    <t>文物调查</t>
  </si>
  <si>
    <t>3.2.8</t>
  </si>
  <si>
    <t>送出可研（含国网经研院评审费12万元）</t>
  </si>
  <si>
    <t>3.2.9</t>
  </si>
  <si>
    <t>核准审请与报告</t>
  </si>
  <si>
    <t>勘察设计费及评审费</t>
  </si>
  <si>
    <t>包括本体和送出线路的勘察设计，含初步设计、施工图设计、竣工图设计。</t>
  </si>
  <si>
    <t>3.3.1</t>
  </si>
  <si>
    <t>本体勘察设计费</t>
  </si>
  <si>
    <t>3.3.2</t>
  </si>
  <si>
    <t>线路勘察设计费（含国网间隔扩建）</t>
  </si>
  <si>
    <t>3.3.3</t>
  </si>
  <si>
    <t>设计文件评审+图审费</t>
  </si>
  <si>
    <t>初设10、施工图20</t>
  </si>
  <si>
    <t>项目其他费用</t>
  </si>
  <si>
    <t>含项目建设管理费、设备材料监造费</t>
  </si>
  <si>
    <t>智慧工地</t>
  </si>
  <si>
    <t>依据当地政府要求配置</t>
  </si>
  <si>
    <t>本体环境监测及环境保护验收费</t>
  </si>
  <si>
    <t>本体水土保持监测及验收费</t>
  </si>
  <si>
    <t>送出环境监测及环境保护验收费</t>
  </si>
  <si>
    <t>送出水土保持监测及验收费</t>
  </si>
  <si>
    <t>水土保持补偿费</t>
  </si>
  <si>
    <t>涉网试验费</t>
  </si>
  <si>
    <t>并网手续、并网验收等</t>
  </si>
  <si>
    <t>并网手续、并网验收、并网协调等各种费用。</t>
  </si>
  <si>
    <t>防雷检测报告（第三方）</t>
  </si>
  <si>
    <t>桩基检测</t>
  </si>
  <si>
    <t>业主负责相关费用</t>
  </si>
  <si>
    <t>本体征地费</t>
  </si>
  <si>
    <t>土地购置费用780万元+耕地占用税60万元</t>
  </si>
  <si>
    <t>项目法人管理费</t>
  </si>
  <si>
    <t>生产准备费</t>
  </si>
  <si>
    <t>项目监理费</t>
  </si>
  <si>
    <t>工程招标费</t>
  </si>
  <si>
    <t>工程保险费</t>
  </si>
  <si>
    <t>设备材料监造费</t>
  </si>
  <si>
    <t>含业主费用合计</t>
  </si>
  <si>
    <t xml:space="preserve">  财务指标汇总表</t>
  </si>
  <si>
    <t>指标</t>
  </si>
  <si>
    <t>项目运营期12年年均营业收入</t>
  </si>
  <si>
    <t>年均利润总额</t>
  </si>
  <si>
    <t>年上网电量</t>
  </si>
  <si>
    <r>
      <rPr>
        <sz val="10.5"/>
        <rFont val="宋体"/>
        <charset val="134"/>
      </rPr>
      <t>万</t>
    </r>
    <r>
      <rPr>
        <sz val="10.5"/>
        <rFont val="宋体"/>
        <charset val="134"/>
      </rPr>
      <t>千瓦时</t>
    </r>
  </si>
  <si>
    <t>年均净利润</t>
  </si>
  <si>
    <t>年利用小时数</t>
  </si>
  <si>
    <t>小时</t>
  </si>
  <si>
    <t>全投资财务内部收益率</t>
  </si>
  <si>
    <t>%，</t>
  </si>
  <si>
    <t>总投资</t>
  </si>
  <si>
    <t>资本金财务内部收益率</t>
  </si>
  <si>
    <t>固定资产</t>
  </si>
  <si>
    <t>投资回收期</t>
  </si>
  <si>
    <t>年。</t>
  </si>
  <si>
    <t>建设期利息</t>
  </si>
  <si>
    <t>综上，项目收益情况</t>
  </si>
  <si>
    <t>，</t>
  </si>
  <si>
    <t>上网电价（含增值税）</t>
  </si>
  <si>
    <r>
      <rPr>
        <sz val="10.5"/>
        <rFont val="宋体"/>
        <charset val="134"/>
      </rPr>
      <t>元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千瓦时</t>
    </r>
  </si>
  <si>
    <t>发电营业收入总额</t>
  </si>
  <si>
    <t>年均营业收入</t>
  </si>
  <si>
    <t>发电利润总额</t>
  </si>
  <si>
    <t>发电净利润</t>
  </si>
  <si>
    <t>财务内部收益率</t>
  </si>
  <si>
    <t>全投资内部收益率</t>
  </si>
  <si>
    <t>资本金内部收益率</t>
  </si>
  <si>
    <t>排序</t>
  </si>
  <si>
    <t>省级电网</t>
  </si>
  <si>
    <t>燃煤发电标杆上网电价</t>
  </si>
  <si>
    <t>2019年交易导致的电价折减</t>
  </si>
  <si>
    <t>（不含两个细则考核）</t>
  </si>
  <si>
    <t>青海</t>
  </si>
  <si>
    <t>新疆</t>
  </si>
  <si>
    <t>宁夏</t>
  </si>
  <si>
    <t>蒙西</t>
  </si>
  <si>
    <t>蒙东</t>
  </si>
  <si>
    <t>甘肃</t>
  </si>
  <si>
    <t>陕西(榆林)</t>
  </si>
  <si>
    <t>陕西</t>
  </si>
  <si>
    <t>冀北</t>
  </si>
  <si>
    <t>吉林</t>
  </si>
  <si>
    <t>黑龙江</t>
  </si>
  <si>
    <t>辽宁</t>
  </si>
  <si>
    <t>安徽</t>
  </si>
  <si>
    <t>江苏</t>
  </si>
  <si>
    <t>福建</t>
  </si>
  <si>
    <t>山东</t>
  </si>
  <si>
    <t>浙江</t>
  </si>
  <si>
    <t>广东</t>
  </si>
  <si>
    <t>输出：</t>
  </si>
  <si>
    <t>输出参数</t>
  </si>
  <si>
    <t>不同类型场站限额基准A</t>
  </si>
  <si>
    <t>不同装机规模调整系数K1</t>
  </si>
  <si>
    <t>不同送出条件调整系数K3</t>
  </si>
  <si>
    <t>不同机型调整系数K4</t>
  </si>
  <si>
    <t>技改大修系数K5</t>
  </si>
  <si>
    <t>计算结果</t>
  </si>
  <si>
    <t>K2判断条件</t>
  </si>
  <si>
    <t>时间（年）</t>
  </si>
  <si>
    <t>不同运营时长调整系数K2</t>
  </si>
  <si>
    <t>场站生产费用限额（元/千瓦）</t>
  </si>
  <si>
    <t>运维费用限额（万元）</t>
  </si>
  <si>
    <t>年均运维费用限额（万元）</t>
  </si>
  <si>
    <t>固定资产价值</t>
  </si>
  <si>
    <t>维修费率</t>
  </si>
  <si>
    <t>维修费限额</t>
  </si>
  <si>
    <t>不同运营时长调整系数</t>
  </si>
  <si>
    <t>维修费用</t>
  </si>
  <si>
    <t>材料费</t>
  </si>
  <si>
    <t>消防外委</t>
  </si>
  <si>
    <t>维修及材料费用</t>
  </si>
  <si>
    <t>项目公司成本费用统计表</t>
  </si>
  <si>
    <t>费用类型</t>
  </si>
  <si>
    <t>成本项目</t>
  </si>
  <si>
    <t>河北</t>
  </si>
  <si>
    <t>内蒙古</t>
  </si>
  <si>
    <t>总计</t>
  </si>
  <si>
    <t>小计</t>
  </si>
  <si>
    <t>纯场站费用</t>
  </si>
  <si>
    <t>购入电力费</t>
  </si>
  <si>
    <t>输电费</t>
  </si>
  <si>
    <t>折旧费</t>
  </si>
  <si>
    <t>燃料费</t>
  </si>
  <si>
    <t>水费</t>
  </si>
  <si>
    <t>材料费及修理费</t>
  </si>
  <si>
    <t>委托运行维护费</t>
  </si>
  <si>
    <t>财产保险费</t>
  </si>
  <si>
    <t>电力设施保护费</t>
  </si>
  <si>
    <t>安全费</t>
  </si>
  <si>
    <t>长期待摊费用摊销</t>
  </si>
  <si>
    <t>无形资产摊销</t>
  </si>
  <si>
    <t>存货盘亏和毁损</t>
  </si>
  <si>
    <t>设备检测费</t>
  </si>
  <si>
    <t>环评费</t>
  </si>
  <si>
    <t>节能服务费</t>
  </si>
  <si>
    <t>知识产权维护费</t>
  </si>
  <si>
    <t>区域公司
人工成本</t>
  </si>
  <si>
    <t>工资</t>
  </si>
  <si>
    <t>社会保险费</t>
  </si>
  <si>
    <t>住房公积金</t>
  </si>
  <si>
    <t>职工福利费</t>
  </si>
  <si>
    <t>工资附加</t>
  </si>
  <si>
    <t>劳务派遣费</t>
  </si>
  <si>
    <t>临时用工薪酬</t>
  </si>
  <si>
    <t>辞退福利</t>
  </si>
  <si>
    <t>劳动保护费</t>
  </si>
  <si>
    <t>各场站人工成本</t>
  </si>
  <si>
    <t>下沉人工成本</t>
  </si>
  <si>
    <t>管理性费用下沉</t>
  </si>
  <si>
    <t>低值易耗品摊销</t>
  </si>
  <si>
    <t>研究开发费</t>
  </si>
  <si>
    <t>办公费</t>
  </si>
  <si>
    <t>差旅费</t>
  </si>
  <si>
    <t>会议费</t>
  </si>
  <si>
    <t>业务招待费</t>
  </si>
  <si>
    <t>公务用车辆使用费</t>
  </si>
  <si>
    <t>生产用车辆使用费</t>
  </si>
  <si>
    <t>物业管理费</t>
  </si>
  <si>
    <t>管理用房屋维修费</t>
  </si>
  <si>
    <t>水电费</t>
  </si>
  <si>
    <t>绿化费</t>
  </si>
  <si>
    <t>业务费</t>
  </si>
  <si>
    <t>取暖费</t>
  </si>
  <si>
    <t>中介费</t>
  </si>
  <si>
    <t>广告宣传费</t>
  </si>
  <si>
    <t>租赁费</t>
  </si>
  <si>
    <t>出国人员经费</t>
  </si>
  <si>
    <t>国际业务支出</t>
  </si>
  <si>
    <t>客服及商务费用</t>
  </si>
  <si>
    <t>信息系统运维费</t>
  </si>
  <si>
    <t>董事会会费</t>
  </si>
  <si>
    <t>团体会费</t>
  </si>
  <si>
    <t>地方政府收费</t>
  </si>
  <si>
    <t>技术使用费</t>
  </si>
  <si>
    <t>党建工作经费</t>
  </si>
  <si>
    <t>清洁卫生费</t>
  </si>
  <si>
    <t>合   计</t>
  </si>
  <si>
    <t>下沉费用合计</t>
  </si>
  <si>
    <t>在运项目规模</t>
  </si>
  <si>
    <t>在建项目规模</t>
  </si>
  <si>
    <t>公司判断</t>
  </si>
  <si>
    <t>输入参数中的公司</t>
  </si>
  <si>
    <t>本单位在运在建规模</t>
  </si>
  <si>
    <t>本项目容量</t>
  </si>
  <si>
    <t>占比</t>
  </si>
  <si>
    <t>下沉费用</t>
  </si>
  <si>
    <t>单位名称</t>
  </si>
  <si>
    <t>场站人数</t>
  </si>
  <si>
    <t>场站职工人工成本总额（万元）</t>
  </si>
  <si>
    <t>人均</t>
  </si>
  <si>
    <t>甘肃公司</t>
  </si>
  <si>
    <t>新疆公司</t>
  </si>
  <si>
    <t>河北公司</t>
  </si>
  <si>
    <t>陕西公司</t>
  </si>
  <si>
    <t>内蒙公司</t>
  </si>
  <si>
    <t>山东公司</t>
  </si>
  <si>
    <t>青海公司</t>
  </si>
  <si>
    <t>江苏公司</t>
  </si>
  <si>
    <t>输出</t>
  </si>
  <si>
    <t>投资计划与资金筹措表</t>
  </si>
  <si>
    <t>运营期</t>
  </si>
  <si>
    <t>总投资规模（动态）</t>
  </si>
  <si>
    <t>建设投资（静态）</t>
  </si>
  <si>
    <t>资金筹措</t>
  </si>
  <si>
    <t>资本金</t>
  </si>
  <si>
    <t>长期借款</t>
  </si>
  <si>
    <t>长期借款本金</t>
  </si>
  <si>
    <t>偿还长期借款本金</t>
  </si>
  <si>
    <t>偿还长期借款利息</t>
  </si>
  <si>
    <t>利润与利润分配表</t>
  </si>
  <si>
    <t xml:space="preserve">调度次数 </t>
  </si>
  <si>
    <t>电化学装机容量（万千瓦)</t>
  </si>
  <si>
    <t>储能时长（小时）</t>
  </si>
  <si>
    <t>储能容量保持率</t>
  </si>
  <si>
    <t>转换效率</t>
  </si>
  <si>
    <t>放电率</t>
  </si>
  <si>
    <t>上网小时数（小时）</t>
  </si>
  <si>
    <t>不参与交易的上网小时数</t>
  </si>
  <si>
    <t>参与交易的上网小时数</t>
  </si>
  <si>
    <t>上网电量</t>
  </si>
  <si>
    <t>等效调度次数</t>
  </si>
  <si>
    <t>放电交易电价（不含税）</t>
  </si>
  <si>
    <t>放电交易电价（含税）</t>
  </si>
  <si>
    <t>补贴电价合计（不含税）（万元）</t>
  </si>
  <si>
    <t>补贴电价合计（含税）（万元）</t>
  </si>
  <si>
    <t>调峰调频收入（万元）</t>
  </si>
  <si>
    <t>政府补贴收入（万元）</t>
  </si>
  <si>
    <t>销售收入（含税）</t>
  </si>
  <si>
    <t>营业收入（不含税）</t>
  </si>
  <si>
    <t>增值税</t>
  </si>
  <si>
    <t>当期增值税销项税</t>
  </si>
  <si>
    <t>可抵扣增值进项税</t>
  </si>
  <si>
    <t>当期缴纳增值税</t>
  </si>
  <si>
    <t>销售税金及附加</t>
  </si>
  <si>
    <t>综合税率：</t>
  </si>
  <si>
    <t>发电成本费用</t>
  </si>
  <si>
    <t>其中 利息费用：</t>
  </si>
  <si>
    <t>利润总额</t>
  </si>
  <si>
    <t>弥补以前年度亏损</t>
  </si>
  <si>
    <t>应纳税所得额</t>
  </si>
  <si>
    <t>所得税</t>
  </si>
  <si>
    <t>净利润</t>
  </si>
  <si>
    <t>期初未分配利润</t>
  </si>
  <si>
    <t>提取法定盈余公积金</t>
  </si>
  <si>
    <t>期末未分配利润</t>
  </si>
  <si>
    <t>息税前利润</t>
  </si>
  <si>
    <t>项目全投资调整所得税：</t>
  </si>
  <si>
    <t>增值税抵扣额</t>
  </si>
  <si>
    <t>项目投资现金流量表</t>
  </si>
  <si>
    <t>人民币单位：万元</t>
  </si>
  <si>
    <t>现金流入</t>
  </si>
  <si>
    <t>1.2</t>
  </si>
  <si>
    <t>回收固定资产余值</t>
  </si>
  <si>
    <t>1.3</t>
  </si>
  <si>
    <t>回收流动资金</t>
  </si>
  <si>
    <t>现金流出</t>
  </si>
  <si>
    <t>建设资金</t>
  </si>
  <si>
    <t>流动资金</t>
  </si>
  <si>
    <t>经营成本</t>
  </si>
  <si>
    <t>维持运营投资</t>
  </si>
  <si>
    <t>所得税前净现金流量</t>
  </si>
  <si>
    <t>累计所得税前净现金流量</t>
  </si>
  <si>
    <t>调整所得税</t>
  </si>
  <si>
    <t>所得税后净现金流量</t>
  </si>
  <si>
    <t>累计所得税后净现金流量</t>
  </si>
  <si>
    <t>全投资所得税前内部收益率</t>
  </si>
  <si>
    <t>全投资所得税后内部收益率</t>
  </si>
  <si>
    <t>年数</t>
  </si>
  <si>
    <t>投资回收期（含建设期）（税前）</t>
  </si>
  <si>
    <t>项目资本金现金流量表</t>
  </si>
  <si>
    <t>资本金支出</t>
  </si>
  <si>
    <t>偿还借款本金</t>
  </si>
  <si>
    <t>偿还借款利息</t>
  </si>
  <si>
    <t>缴纳当期增值税</t>
  </si>
  <si>
    <t>缴纳所得税</t>
  </si>
  <si>
    <t>净现金流量</t>
  </si>
  <si>
    <t>总利润</t>
  </si>
  <si>
    <t>年平均利润</t>
  </si>
  <si>
    <t>12年资本金内部收益率</t>
  </si>
  <si>
    <t>借款还本付息表</t>
  </si>
  <si>
    <t>长期借款：</t>
  </si>
  <si>
    <t>年初借款本金</t>
  </si>
  <si>
    <t>本年新增借款</t>
  </si>
  <si>
    <t>本年应计利息</t>
  </si>
  <si>
    <t>本年还本付息</t>
  </si>
  <si>
    <t>本年偿还本金</t>
  </si>
  <si>
    <t>长期借款利率：</t>
  </si>
  <si>
    <t>本年偿还利息</t>
  </si>
  <si>
    <t>期末借款余额</t>
  </si>
  <si>
    <t>短期借款</t>
  </si>
  <si>
    <t>短期借款本金</t>
  </si>
  <si>
    <t>短期借款利息</t>
  </si>
  <si>
    <t>偿还短期借款本金</t>
  </si>
  <si>
    <t>偿还利息合计</t>
  </si>
  <si>
    <t>偿还本金合计</t>
  </si>
  <si>
    <t xml:space="preserve">运营成本费用表  </t>
  </si>
  <si>
    <t>项目名称</t>
  </si>
  <si>
    <t>保险费</t>
  </si>
  <si>
    <t>利息支出（万元）</t>
  </si>
  <si>
    <t>土地费用或土地使用税（万元/年)</t>
  </si>
  <si>
    <t>其他费用</t>
  </si>
  <si>
    <t>购电电费</t>
  </si>
  <si>
    <t>总成本费用</t>
  </si>
  <si>
    <t>投资规模</t>
  </si>
  <si>
    <t>转资后固定资产原值：</t>
  </si>
  <si>
    <t>每年直线折旧额</t>
  </si>
  <si>
    <t>可抵扣进项税额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</si>
</sst>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.00_);[Red]\(0.00\)"/>
    <numFmt numFmtId="179" formatCode="#,##0.000_ "/>
    <numFmt numFmtId="180" formatCode="#,##0_ "/>
    <numFmt numFmtId="181" formatCode="0.000_ "/>
    <numFmt numFmtId="182" formatCode="0.00_ "/>
    <numFmt numFmtId="183" formatCode="0.0_ "/>
    <numFmt numFmtId="184" formatCode="0.0000_ "/>
    <numFmt numFmtId="185" formatCode="0.0000_);[Red]\(0.0000\)"/>
    <numFmt numFmtId="186" formatCode="#,##0.00_ "/>
    <numFmt numFmtId="187" formatCode="\¥0.00;\¥\-0.00"/>
    <numFmt numFmtId="188" formatCode="0.##%;\-0.##%"/>
    <numFmt numFmtId="189" formatCode="0.00%;\-0.00%"/>
    <numFmt numFmtId="190" formatCode="#,##0.0000_ "/>
  </numFmts>
  <fonts count="74">
    <font>
      <sz val="12"/>
      <name val="宋体"/>
      <charset val="134"/>
    </font>
    <font>
      <sz val="12"/>
      <name val="宋体"/>
      <charset val="134"/>
      <scheme val="minor"/>
    </font>
    <font>
      <b/>
      <sz val="18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2"/>
      <color indexed="0"/>
      <name val="宋体"/>
      <charset val="134"/>
    </font>
    <font>
      <b/>
      <sz val="10"/>
      <color indexed="8"/>
      <name val="宋体"/>
      <charset val="134"/>
      <scheme val="minor"/>
    </font>
    <font>
      <sz val="12"/>
      <color indexed="8"/>
      <name val="宋体"/>
      <charset val="134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6"/>
      <name val="宋体"/>
      <charset val="134"/>
    </font>
    <font>
      <sz val="12"/>
      <color rgb="FFFF0000"/>
      <name val="宋体"/>
      <charset val="134"/>
    </font>
    <font>
      <sz val="8.25"/>
      <color indexed="0"/>
      <name val="Tahoma"/>
      <charset val="134"/>
    </font>
    <font>
      <b/>
      <sz val="12"/>
      <color rgb="FF000000"/>
      <name val="宋体"/>
      <charset val="134"/>
    </font>
    <font>
      <b/>
      <sz val="12"/>
      <color indexed="0"/>
      <name val="宋体"/>
      <charset val="134"/>
      <scheme val="minor"/>
    </font>
    <font>
      <b/>
      <sz val="14"/>
      <color indexed="0"/>
      <name val="宋体"/>
      <charset val="134"/>
    </font>
    <font>
      <sz val="12"/>
      <color indexed="0"/>
      <name val="宋体"/>
      <charset val="134"/>
      <scheme val="minor"/>
    </font>
    <font>
      <b/>
      <sz val="12"/>
      <name val="宋体"/>
      <charset val="134"/>
      <scheme val="minor"/>
    </font>
    <font>
      <b/>
      <sz val="14"/>
      <color indexed="0"/>
      <name val="宋体"/>
      <charset val="134"/>
      <scheme val="minor"/>
    </font>
    <font>
      <sz val="12"/>
      <color indexed="0"/>
      <name val="宋体"/>
      <charset val="134"/>
    </font>
    <font>
      <sz val="10"/>
      <name val="宋体"/>
      <charset val="134"/>
    </font>
    <font>
      <sz val="12"/>
      <name val="Times New Roman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8"/>
      <color theme="1"/>
      <name val="宋体"/>
      <charset val="134"/>
    </font>
    <font>
      <b/>
      <sz val="18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b/>
      <sz val="9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9"/>
      <color theme="1"/>
      <name val="宋体"/>
      <charset val="134"/>
    </font>
    <font>
      <sz val="10"/>
      <color theme="1"/>
      <name val="Arial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sz val="10.5"/>
      <name val="宋体"/>
      <charset val="134"/>
    </font>
    <font>
      <sz val="10.5"/>
      <name val="Times New Roman"/>
      <charset val="134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b/>
      <sz val="18"/>
      <name val="宋体"/>
      <charset val="134"/>
    </font>
    <font>
      <b/>
      <sz val="12"/>
      <color rgb="FFFF0000"/>
      <name val="宋体"/>
      <charset val="134"/>
    </font>
    <font>
      <b/>
      <sz val="11"/>
      <color indexed="9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761955626087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497848445081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8" fillId="24" borderId="58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59" applyNumberFormat="0" applyFill="0" applyAlignment="0" applyProtection="0">
      <alignment vertical="center"/>
    </xf>
    <xf numFmtId="0" fontId="60" fillId="0" borderId="59" applyNumberFormat="0" applyFill="0" applyAlignment="0" applyProtection="0">
      <alignment vertical="center"/>
    </xf>
    <xf numFmtId="0" fontId="61" fillId="0" borderId="60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5" borderId="61" applyNumberFormat="0" applyAlignment="0" applyProtection="0">
      <alignment vertical="center"/>
    </xf>
    <xf numFmtId="0" fontId="63" fillId="26" borderId="62" applyNumberFormat="0" applyAlignment="0" applyProtection="0">
      <alignment vertical="center"/>
    </xf>
    <xf numFmtId="0" fontId="64" fillId="26" borderId="61" applyNumberFormat="0" applyAlignment="0" applyProtection="0">
      <alignment vertical="center"/>
    </xf>
    <xf numFmtId="0" fontId="65" fillId="27" borderId="63" applyNumberFormat="0" applyAlignment="0" applyProtection="0">
      <alignment vertical="center"/>
    </xf>
    <xf numFmtId="0" fontId="66" fillId="0" borderId="64" applyNumberFormat="0" applyFill="0" applyAlignment="0" applyProtection="0">
      <alignment vertical="center"/>
    </xf>
    <xf numFmtId="0" fontId="67" fillId="0" borderId="65" applyNumberFormat="0" applyFill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43" fontId="53" fillId="0" borderId="0" applyFont="0" applyFill="0" applyBorder="0" applyAlignment="0" applyProtection="0">
      <alignment vertical="center"/>
    </xf>
  </cellStyleXfs>
  <cellXfs count="517">
    <xf numFmtId="0" fontId="0" fillId="0" borderId="0" xfId="0">
      <alignment vertical="center"/>
    </xf>
    <xf numFmtId="0" fontId="1" fillId="2" borderId="0" xfId="0" applyFont="1" applyFill="1" applyAlignment="1" applyProtection="1">
      <alignment horizontal="left" vertical="center"/>
      <protection locked="0"/>
    </xf>
    <xf numFmtId="0" fontId="0" fillId="2" borderId="0" xfId="0" applyFill="1">
      <alignment vertical="center"/>
    </xf>
    <xf numFmtId="43" fontId="2" fillId="2" borderId="0" xfId="55" applyFont="1" applyFill="1" applyAlignment="1" applyProtection="1">
      <alignment horizontal="center" vertical="center"/>
      <protection locked="0"/>
    </xf>
    <xf numFmtId="43" fontId="2" fillId="2" borderId="0" xfId="55" applyFont="1" applyFill="1" applyAlignment="1" applyProtection="1">
      <alignment horizontal="left" vertical="center"/>
      <protection locked="0"/>
    </xf>
    <xf numFmtId="43" fontId="3" fillId="2" borderId="1" xfId="55" applyFont="1" applyFill="1" applyBorder="1" applyAlignment="1" applyProtection="1">
      <alignment horizontal="left" vertical="center" wrapText="1"/>
      <protection locked="0"/>
    </xf>
    <xf numFmtId="43" fontId="3" fillId="2" borderId="2" xfId="55" applyFont="1" applyFill="1" applyBorder="1" applyAlignment="1" applyProtection="1">
      <alignment horizontal="left" vertical="center" wrapText="1"/>
      <protection locked="0"/>
    </xf>
    <xf numFmtId="43" fontId="3" fillId="2" borderId="2" xfId="55" applyFont="1" applyFill="1" applyBorder="1" applyAlignment="1" applyProtection="1">
      <alignment vertical="center" wrapText="1"/>
      <protection locked="0"/>
    </xf>
    <xf numFmtId="43" fontId="3" fillId="2" borderId="2" xfId="55" applyFont="1" applyFill="1" applyBorder="1" applyAlignment="1" applyProtection="1">
      <alignment horizontal="center" vertical="center" wrapText="1"/>
      <protection locked="0"/>
    </xf>
    <xf numFmtId="43" fontId="3" fillId="2" borderId="3" xfId="55" applyFont="1" applyFill="1" applyBorder="1" applyAlignment="1" applyProtection="1">
      <alignment horizontal="center" vertical="center" wrapText="1"/>
      <protection locked="0"/>
    </xf>
    <xf numFmtId="43" fontId="3" fillId="2" borderId="4" xfId="55" applyFont="1" applyFill="1" applyBorder="1" applyAlignment="1" applyProtection="1">
      <alignment horizontal="left" vertical="center" wrapText="1"/>
      <protection locked="0"/>
    </xf>
    <xf numFmtId="43" fontId="3" fillId="2" borderId="5" xfId="55" applyFont="1" applyFill="1" applyBorder="1" applyAlignment="1" applyProtection="1">
      <alignment horizontal="left" vertical="center" wrapText="1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49" fontId="5" fillId="2" borderId="4" xfId="55" applyNumberFormat="1" applyFont="1" applyFill="1" applyBorder="1" applyAlignment="1" applyProtection="1">
      <alignment horizontal="left" wrapText="1"/>
      <protection locked="0"/>
    </xf>
    <xf numFmtId="43" fontId="5" fillId="2" borderId="5" xfId="55" applyFont="1" applyFill="1" applyBorder="1" applyAlignment="1" applyProtection="1">
      <alignment horizontal="left" vertical="center" wrapText="1"/>
      <protection locked="0"/>
    </xf>
    <xf numFmtId="176" fontId="0" fillId="2" borderId="5" xfId="0" applyNumberFormat="1" applyFill="1" applyBorder="1" applyAlignment="1">
      <alignment horizontal="left" vertical="center"/>
    </xf>
    <xf numFmtId="177" fontId="0" fillId="2" borderId="5" xfId="0" applyNumberFormat="1" applyFill="1" applyBorder="1" applyAlignment="1">
      <alignment horizontal="left" vertical="center"/>
    </xf>
    <xf numFmtId="177" fontId="0" fillId="2" borderId="5" xfId="0" applyNumberFormat="1" applyFill="1" applyBorder="1" applyAlignment="1">
      <alignment horizontal="right" vertical="center"/>
    </xf>
    <xf numFmtId="177" fontId="0" fillId="2" borderId="8" xfId="0" applyNumberFormat="1" applyFill="1" applyBorder="1" applyAlignment="1">
      <alignment horizontal="right" vertical="center"/>
    </xf>
    <xf numFmtId="177" fontId="6" fillId="2" borderId="9" xfId="0" applyNumberFormat="1" applyFont="1" applyFill="1" applyBorder="1" applyAlignment="1">
      <alignment horizontal="right" vertical="center"/>
    </xf>
    <xf numFmtId="177" fontId="6" fillId="2" borderId="10" xfId="0" applyNumberFormat="1" applyFont="1" applyFill="1" applyBorder="1" applyAlignment="1">
      <alignment horizontal="right" vertical="center"/>
    </xf>
    <xf numFmtId="0" fontId="5" fillId="2" borderId="4" xfId="55" applyNumberFormat="1" applyFont="1" applyFill="1" applyBorder="1" applyAlignment="1" applyProtection="1">
      <alignment horizontal="left" wrapText="1"/>
      <protection locked="0"/>
    </xf>
    <xf numFmtId="43" fontId="5" fillId="2" borderId="5" xfId="55" applyFont="1" applyFill="1" applyBorder="1" applyAlignment="1" applyProtection="1">
      <alignment horizontal="left" vertical="center"/>
      <protection locked="0"/>
    </xf>
    <xf numFmtId="177" fontId="6" fillId="2" borderId="11" xfId="0" applyNumberFormat="1" applyFont="1" applyFill="1" applyBorder="1" applyAlignment="1">
      <alignment horizontal="right" vertical="center"/>
    </xf>
    <xf numFmtId="177" fontId="6" fillId="2" borderId="12" xfId="0" applyNumberFormat="1" applyFont="1" applyFill="1" applyBorder="1" applyAlignment="1">
      <alignment horizontal="right" vertical="center"/>
    </xf>
    <xf numFmtId="0" fontId="7" fillId="2" borderId="4" xfId="55" applyNumberFormat="1" applyFont="1" applyFill="1" applyBorder="1" applyAlignment="1" applyProtection="1">
      <alignment horizontal="left" wrapText="1"/>
      <protection locked="0"/>
    </xf>
    <xf numFmtId="43" fontId="7" fillId="2" borderId="5" xfId="55" applyFont="1" applyFill="1" applyBorder="1" applyAlignment="1" applyProtection="1">
      <alignment horizontal="left" vertical="center" wrapText="1"/>
      <protection locked="0"/>
    </xf>
    <xf numFmtId="49" fontId="5" fillId="2" borderId="13" xfId="55" applyNumberFormat="1" applyFont="1" applyFill="1" applyBorder="1" applyAlignment="1" applyProtection="1">
      <alignment horizontal="left" wrapText="1"/>
      <protection locked="0"/>
    </xf>
    <xf numFmtId="43" fontId="5" fillId="2" borderId="14" xfId="55" applyFont="1" applyFill="1" applyBorder="1" applyAlignment="1" applyProtection="1">
      <alignment horizontal="left" vertical="center" wrapText="1"/>
      <protection locked="0"/>
    </xf>
    <xf numFmtId="176" fontId="0" fillId="2" borderId="14" xfId="0" applyNumberFormat="1" applyFill="1" applyBorder="1" applyAlignment="1">
      <alignment horizontal="left" vertical="center"/>
    </xf>
    <xf numFmtId="177" fontId="0" fillId="2" borderId="14" xfId="0" applyNumberFormat="1" applyFill="1" applyBorder="1" applyAlignment="1">
      <alignment horizontal="left" vertical="center"/>
    </xf>
    <xf numFmtId="177" fontId="0" fillId="2" borderId="14" xfId="0" applyNumberFormat="1" applyFill="1" applyBorder="1" applyAlignment="1">
      <alignment horizontal="right" vertical="center"/>
    </xf>
    <xf numFmtId="177" fontId="0" fillId="2" borderId="15" xfId="0" applyNumberFormat="1" applyFill="1" applyBorder="1" applyAlignment="1">
      <alignment horizontal="right" vertical="center"/>
    </xf>
    <xf numFmtId="0" fontId="8" fillId="2" borderId="0" xfId="0" applyFont="1" applyFill="1" applyAlignment="1" applyProtection="1">
      <alignment horizontal="left"/>
      <protection locked="0"/>
    </xf>
    <xf numFmtId="177" fontId="8" fillId="2" borderId="0" xfId="0" applyNumberFormat="1" applyFont="1" applyFill="1" applyAlignment="1" applyProtection="1">
      <alignment horizontal="left"/>
      <protection locked="0"/>
    </xf>
    <xf numFmtId="0" fontId="9" fillId="2" borderId="5" xfId="0" applyFont="1" applyFill="1" applyBorder="1" applyAlignment="1" applyProtection="1">
      <alignment horizontal="left" vertical="center"/>
      <protection locked="0"/>
    </xf>
    <xf numFmtId="0" fontId="0" fillId="2" borderId="5" xfId="0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176" fontId="1" fillId="2" borderId="5" xfId="0" applyNumberFormat="1" applyFont="1" applyFill="1" applyBorder="1" applyAlignment="1" applyProtection="1">
      <alignment horizontal="left" vertical="center"/>
      <protection locked="0"/>
    </xf>
    <xf numFmtId="178" fontId="0" fillId="2" borderId="5" xfId="0" applyNumberFormat="1" applyFill="1" applyBorder="1" applyAlignment="1" applyProtection="1">
      <alignment horizontal="center" vertical="center"/>
      <protection locked="0"/>
    </xf>
    <xf numFmtId="176" fontId="1" fillId="2" borderId="0" xfId="0" applyNumberFormat="1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10" fontId="0" fillId="2" borderId="0" xfId="0" applyNumberForma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179" fontId="9" fillId="2" borderId="2" xfId="0" applyNumberFormat="1" applyFont="1" applyFill="1" applyBorder="1" applyAlignment="1" applyProtection="1">
      <alignment horizontal="center" vertical="center"/>
      <protection locked="0"/>
    </xf>
    <xf numFmtId="179" fontId="9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left" vertical="center"/>
      <protection locked="0"/>
    </xf>
    <xf numFmtId="179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left" vertical="center"/>
      <protection locked="0"/>
    </xf>
    <xf numFmtId="177" fontId="0" fillId="2" borderId="5" xfId="0" applyNumberFormat="1" applyFill="1" applyBorder="1" applyAlignment="1" applyProtection="1">
      <alignment horizontal="center" vertical="center"/>
      <protection locked="0"/>
    </xf>
    <xf numFmtId="177" fontId="0" fillId="2" borderId="5" xfId="0" applyNumberFormat="1" applyFill="1" applyBorder="1" applyAlignment="1">
      <alignment horizontal="center" vertical="center"/>
    </xf>
    <xf numFmtId="177" fontId="11" fillId="2" borderId="5" xfId="0" applyNumberFormat="1" applyFont="1" applyFill="1" applyBorder="1" applyAlignment="1" applyProtection="1">
      <alignment horizontal="center" vertical="center"/>
      <protection locked="0"/>
    </xf>
    <xf numFmtId="10" fontId="0" fillId="2" borderId="4" xfId="0" applyNumberFormat="1" applyFill="1" applyBorder="1" applyAlignment="1" applyProtection="1">
      <alignment horizontal="left" vertical="center"/>
      <protection locked="0"/>
    </xf>
    <xf numFmtId="10" fontId="0" fillId="2" borderId="5" xfId="0" applyNumberFormat="1" applyFill="1" applyBorder="1" applyAlignment="1" applyProtection="1">
      <alignment horizontal="left" vertical="center"/>
      <protection locked="0"/>
    </xf>
    <xf numFmtId="10" fontId="0" fillId="2" borderId="5" xfId="0" applyNumberFormat="1" applyFill="1" applyBorder="1" applyAlignment="1" applyProtection="1">
      <alignment horizontal="center" vertical="center"/>
      <protection locked="0"/>
    </xf>
    <xf numFmtId="180" fontId="0" fillId="2" borderId="5" xfId="0" applyNumberFormat="1" applyFill="1" applyBorder="1" applyAlignment="1" applyProtection="1">
      <alignment horizontal="center" vertical="center"/>
      <protection locked="0"/>
    </xf>
    <xf numFmtId="180" fontId="0" fillId="2" borderId="5" xfId="0" applyNumberFormat="1" applyFill="1" applyBorder="1" applyAlignment="1">
      <alignment horizontal="center" vertical="center"/>
    </xf>
    <xf numFmtId="177" fontId="12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left" vertical="center"/>
      <protection locked="0"/>
    </xf>
    <xf numFmtId="0" fontId="9" fillId="2" borderId="14" xfId="0" applyFont="1" applyFill="1" applyBorder="1" applyAlignment="1" applyProtection="1">
      <alignment horizontal="left" vertical="center"/>
      <protection locked="0"/>
    </xf>
    <xf numFmtId="177" fontId="0" fillId="2" borderId="14" xfId="0" applyNumberFormat="1" applyFill="1" applyBorder="1" applyAlignment="1">
      <alignment horizontal="center" vertical="center"/>
    </xf>
    <xf numFmtId="180" fontId="0" fillId="2" borderId="14" xfId="0" applyNumberFormat="1" applyFill="1" applyBorder="1" applyAlignment="1">
      <alignment horizontal="center" vertical="center"/>
    </xf>
    <xf numFmtId="0" fontId="9" fillId="2" borderId="0" xfId="0" applyFont="1" applyFill="1" applyAlignment="1" applyProtection="1">
      <alignment horizontal="left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0" xfId="0" applyFont="1" applyFill="1" applyAlignment="1" applyProtection="1">
      <alignment horizontal="left" vertical="center"/>
      <protection locked="0"/>
    </xf>
    <xf numFmtId="0" fontId="14" fillId="2" borderId="5" xfId="0" applyFont="1" applyFill="1" applyBorder="1" applyAlignment="1" applyProtection="1">
      <alignment horizontal="left" vertical="center"/>
      <protection locked="0"/>
    </xf>
    <xf numFmtId="0" fontId="14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176" fontId="0" fillId="2" borderId="5" xfId="0" applyNumberFormat="1" applyFill="1" applyBorder="1" applyAlignment="1">
      <alignment horizontal="center" vertical="center"/>
    </xf>
    <xf numFmtId="181" fontId="0" fillId="2" borderId="0" xfId="0" applyNumberFormat="1" applyFill="1" applyAlignment="1" applyProtection="1">
      <alignment horizontal="center" vertical="center"/>
      <protection locked="0"/>
    </xf>
    <xf numFmtId="10" fontId="0" fillId="2" borderId="0" xfId="3" applyNumberFormat="1" applyFont="1" applyFill="1" applyAlignment="1" applyProtection="1">
      <alignment horizontal="center" vertical="center"/>
      <protection locked="0"/>
    </xf>
    <xf numFmtId="181" fontId="0" fillId="2" borderId="0" xfId="0" applyNumberFormat="1" applyFont="1" applyFill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horizontal="left" vertical="center"/>
      <protection locked="0"/>
    </xf>
    <xf numFmtId="182" fontId="0" fillId="2" borderId="0" xfId="0" applyNumberFormat="1" applyFill="1" applyAlignment="1" applyProtection="1">
      <alignment horizontal="left" vertical="center"/>
      <protection locked="0"/>
    </xf>
    <xf numFmtId="0" fontId="0" fillId="2" borderId="17" xfId="0" applyFont="1" applyFill="1" applyBorder="1" applyAlignment="1" applyProtection="1">
      <alignment horizontal="left" vertical="center"/>
      <protection locked="0"/>
    </xf>
    <xf numFmtId="10" fontId="11" fillId="2" borderId="18" xfId="0" applyNumberFormat="1" applyFont="1" applyFill="1" applyBorder="1" applyAlignment="1">
      <alignment horizontal="center" vertical="center"/>
    </xf>
    <xf numFmtId="182" fontId="0" fillId="2" borderId="0" xfId="0" applyNumberFormat="1" applyFill="1" applyAlignment="1" applyProtection="1">
      <alignment horizontal="center" vertical="center"/>
      <protection locked="0"/>
    </xf>
    <xf numFmtId="10" fontId="11" fillId="2" borderId="0" xfId="0" applyNumberFormat="1" applyFont="1" applyFill="1" applyAlignment="1" applyProtection="1">
      <alignment horizontal="center" vertical="center"/>
      <protection locked="0"/>
    </xf>
    <xf numFmtId="0" fontId="0" fillId="2" borderId="0" xfId="0" applyFont="1" applyFill="1" applyAlignment="1" applyProtection="1">
      <alignment horizontal="left" vertical="center" wrapText="1"/>
      <protection locked="0"/>
    </xf>
    <xf numFmtId="10" fontId="0" fillId="2" borderId="0" xfId="0" applyNumberFormat="1" applyFill="1" applyAlignment="1" applyProtection="1">
      <alignment horizontal="center" vertical="center"/>
      <protection locked="0"/>
    </xf>
    <xf numFmtId="181" fontId="0" fillId="0" borderId="0" xfId="0" applyNumberFormat="1">
      <alignment vertical="center"/>
    </xf>
    <xf numFmtId="181" fontId="1" fillId="0" borderId="0" xfId="0" applyNumberFormat="1" applyFont="1">
      <alignment vertical="center"/>
    </xf>
    <xf numFmtId="181" fontId="0" fillId="2" borderId="0" xfId="0" applyNumberFormat="1" applyFill="1">
      <alignment vertical="center"/>
    </xf>
    <xf numFmtId="181" fontId="0" fillId="0" borderId="0" xfId="0" applyNumberFormat="1" applyAlignment="1" applyProtection="1">
      <alignment horizontal="left" vertical="center"/>
      <protection locked="0"/>
    </xf>
    <xf numFmtId="183" fontId="0" fillId="0" borderId="0" xfId="0" applyNumberFormat="1" applyAlignment="1" applyProtection="1">
      <alignment horizontal="left" vertical="center"/>
      <protection locked="0"/>
    </xf>
    <xf numFmtId="181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81" fontId="0" fillId="2" borderId="0" xfId="0" applyNumberFormat="1" applyFill="1" applyAlignment="1" applyProtection="1">
      <alignment horizontal="left" vertical="center"/>
      <protection locked="0"/>
    </xf>
    <xf numFmtId="183" fontId="0" fillId="2" borderId="0" xfId="0" applyNumberFormat="1" applyFill="1" applyAlignment="1" applyProtection="1">
      <alignment horizontal="left" vertical="center"/>
      <protection locked="0"/>
    </xf>
    <xf numFmtId="183" fontId="15" fillId="2" borderId="0" xfId="0" applyNumberFormat="1" applyFont="1" applyFill="1" applyAlignment="1" applyProtection="1">
      <alignment horizontal="center" vertical="center"/>
      <protection locked="0"/>
    </xf>
    <xf numFmtId="183" fontId="12" fillId="2" borderId="0" xfId="0" applyNumberFormat="1" applyFont="1" applyFill="1" applyAlignment="1" applyProtection="1">
      <alignment horizontal="left" vertical="center"/>
      <protection locked="0"/>
    </xf>
    <xf numFmtId="181" fontId="1" fillId="2" borderId="0" xfId="0" applyNumberFormat="1" applyFont="1" applyFill="1" applyAlignment="1" applyProtection="1">
      <alignment horizontal="left" vertical="center"/>
      <protection locked="0"/>
    </xf>
    <xf numFmtId="183" fontId="16" fillId="2" borderId="1" xfId="0" applyNumberFormat="1" applyFont="1" applyFill="1" applyBorder="1" applyAlignment="1" applyProtection="1">
      <alignment horizontal="left" vertical="center"/>
      <protection locked="0"/>
    </xf>
    <xf numFmtId="181" fontId="16" fillId="2" borderId="2" xfId="0" applyNumberFormat="1" applyFont="1" applyFill="1" applyBorder="1" applyAlignment="1" applyProtection="1">
      <alignment horizontal="left" vertical="center"/>
      <protection locked="0"/>
    </xf>
    <xf numFmtId="181" fontId="16" fillId="2" borderId="2" xfId="0" applyNumberFormat="1" applyFont="1" applyFill="1" applyBorder="1" applyAlignment="1" applyProtection="1">
      <alignment horizontal="center" vertical="center"/>
      <protection locked="0"/>
    </xf>
    <xf numFmtId="181" fontId="17" fillId="2" borderId="2" xfId="0" applyNumberFormat="1" applyFont="1" applyFill="1" applyBorder="1" applyAlignment="1" applyProtection="1">
      <alignment horizontal="center" vertical="center"/>
      <protection locked="0"/>
    </xf>
    <xf numFmtId="181" fontId="18" fillId="2" borderId="5" xfId="0" applyNumberFormat="1" applyFont="1" applyFill="1" applyBorder="1" applyAlignment="1" applyProtection="1">
      <alignment horizontal="center" vertical="center"/>
      <protection locked="0"/>
    </xf>
    <xf numFmtId="181" fontId="1" fillId="0" borderId="0" xfId="0" applyNumberFormat="1" applyFont="1" applyAlignment="1" applyProtection="1">
      <alignment horizontal="left" vertical="center"/>
      <protection locked="0"/>
    </xf>
    <xf numFmtId="183" fontId="16" fillId="2" borderId="4" xfId="0" applyNumberFormat="1" applyFont="1" applyFill="1" applyBorder="1" applyAlignment="1" applyProtection="1">
      <alignment horizontal="left" vertical="center"/>
      <protection locked="0"/>
    </xf>
    <xf numFmtId="181" fontId="16" fillId="2" borderId="5" xfId="0" applyNumberFormat="1" applyFont="1" applyFill="1" applyBorder="1" applyAlignment="1" applyProtection="1">
      <alignment horizontal="left" vertical="center"/>
      <protection locked="0"/>
    </xf>
    <xf numFmtId="181" fontId="16" fillId="2" borderId="5" xfId="0" applyNumberFormat="1" applyFont="1" applyFill="1" applyBorder="1" applyAlignment="1" applyProtection="1">
      <alignment horizontal="center" vertical="center"/>
      <protection locked="0"/>
    </xf>
    <xf numFmtId="49" fontId="0" fillId="2" borderId="4" xfId="0" applyNumberFormat="1" applyFill="1" applyBorder="1" applyAlignment="1" applyProtection="1">
      <alignment horizontal="left" vertical="center"/>
      <protection locked="0"/>
    </xf>
    <xf numFmtId="181" fontId="0" fillId="2" borderId="5" xfId="0" applyNumberFormat="1" applyFill="1" applyBorder="1" applyAlignment="1" applyProtection="1">
      <alignment horizontal="left" vertical="center"/>
      <protection locked="0"/>
    </xf>
    <xf numFmtId="176" fontId="0" fillId="2" borderId="5" xfId="0" applyNumberFormat="1" applyFill="1" applyBorder="1" applyAlignment="1" applyProtection="1">
      <alignment horizontal="center" vertical="center"/>
      <protection locked="0"/>
    </xf>
    <xf numFmtId="49" fontId="0" fillId="2" borderId="13" xfId="0" applyNumberFormat="1" applyFill="1" applyBorder="1" applyAlignment="1" applyProtection="1">
      <alignment horizontal="left" vertical="center"/>
      <protection locked="0"/>
    </xf>
    <xf numFmtId="181" fontId="0" fillId="2" borderId="14" xfId="0" applyNumberFormat="1" applyFill="1" applyBorder="1" applyAlignment="1" applyProtection="1">
      <alignment horizontal="left" vertical="center"/>
      <protection locked="0"/>
    </xf>
    <xf numFmtId="176" fontId="0" fillId="2" borderId="14" xfId="0" applyNumberFormat="1" applyFill="1" applyBorder="1" applyAlignment="1">
      <alignment horizontal="center" vertical="center"/>
    </xf>
    <xf numFmtId="181" fontId="0" fillId="2" borderId="1" xfId="0" applyNumberFormat="1" applyFill="1" applyBorder="1" applyAlignment="1" applyProtection="1">
      <alignment horizontal="left" vertical="center"/>
      <protection locked="0"/>
    </xf>
    <xf numFmtId="10" fontId="0" fillId="2" borderId="3" xfId="0" applyNumberFormat="1" applyFill="1" applyBorder="1" applyAlignment="1">
      <alignment horizontal="center" vertical="center"/>
    </xf>
    <xf numFmtId="181" fontId="0" fillId="2" borderId="4" xfId="0" applyNumberFormat="1" applyFill="1" applyBorder="1" applyAlignment="1" applyProtection="1">
      <alignment horizontal="left" vertical="center"/>
      <protection locked="0"/>
    </xf>
    <xf numFmtId="10" fontId="0" fillId="2" borderId="8" xfId="0" applyNumberFormat="1" applyFill="1" applyBorder="1" applyAlignment="1">
      <alignment horizontal="center" vertical="center"/>
    </xf>
    <xf numFmtId="181" fontId="0" fillId="2" borderId="8" xfId="0" applyNumberFormat="1" applyFill="1" applyBorder="1" applyAlignment="1" applyProtection="1">
      <alignment horizontal="center" vertical="center"/>
      <protection locked="0"/>
    </xf>
    <xf numFmtId="181" fontId="0" fillId="2" borderId="13" xfId="0" applyNumberFormat="1" applyFill="1" applyBorder="1" applyAlignment="1" applyProtection="1">
      <alignment horizontal="left" vertical="center" wrapText="1"/>
      <protection locked="0"/>
    </xf>
    <xf numFmtId="182" fontId="0" fillId="2" borderId="15" xfId="0" applyNumberFormat="1" applyFill="1" applyBorder="1" applyAlignment="1">
      <alignment horizontal="center" vertical="center"/>
    </xf>
    <xf numFmtId="0" fontId="0" fillId="2" borderId="0" xfId="0" applyFill="1" applyProtection="1">
      <alignment vertical="center"/>
      <protection locked="0"/>
    </xf>
    <xf numFmtId="177" fontId="0" fillId="2" borderId="0" xfId="0" applyNumberFormat="1" applyFill="1">
      <alignment vertical="center"/>
    </xf>
    <xf numFmtId="182" fontId="0" fillId="2" borderId="0" xfId="0" applyNumberFormat="1" applyFill="1">
      <alignment vertical="center"/>
    </xf>
    <xf numFmtId="0" fontId="9" fillId="2" borderId="1" xfId="0" applyFont="1" applyFill="1" applyBorder="1" applyAlignment="1" applyProtection="1">
      <alignment horizontal="left" vertical="center"/>
      <protection locked="0"/>
    </xf>
    <xf numFmtId="182" fontId="0" fillId="2" borderId="5" xfId="0" applyNumberFormat="1" applyFont="1" applyFill="1" applyBorder="1" applyAlignment="1" applyProtection="1">
      <alignment horizontal="left" vertical="center"/>
      <protection locked="0"/>
    </xf>
    <xf numFmtId="182" fontId="9" fillId="2" borderId="5" xfId="0" applyNumberFormat="1" applyFont="1" applyFill="1" applyBorder="1" applyAlignment="1">
      <alignment horizontal="left" vertical="center"/>
    </xf>
    <xf numFmtId="182" fontId="19" fillId="2" borderId="5" xfId="0" applyNumberFormat="1" applyFont="1" applyFill="1" applyBorder="1" applyAlignment="1" applyProtection="1">
      <alignment horizontal="center" vertical="center"/>
      <protection locked="0"/>
    </xf>
    <xf numFmtId="182" fontId="0" fillId="2" borderId="5" xfId="0" applyNumberFormat="1" applyFill="1" applyBorder="1" applyAlignment="1">
      <alignment horizontal="center" vertical="center"/>
    </xf>
    <xf numFmtId="0" fontId="0" fillId="2" borderId="5" xfId="0" applyFont="1" applyFill="1" applyBorder="1" applyAlignment="1" applyProtection="1">
      <alignment horizontal="left" vertical="center"/>
      <protection locked="0"/>
    </xf>
    <xf numFmtId="0" fontId="19" fillId="2" borderId="5" xfId="0" applyFont="1" applyFill="1" applyBorder="1" applyAlignment="1" applyProtection="1">
      <alignment horizontal="center" vertical="center"/>
      <protection locked="0"/>
    </xf>
    <xf numFmtId="184" fontId="0" fillId="2" borderId="5" xfId="0" applyNumberFormat="1" applyFill="1" applyBorder="1" applyAlignment="1">
      <alignment horizontal="center" vertical="center"/>
    </xf>
    <xf numFmtId="0" fontId="0" fillId="2" borderId="4" xfId="0" applyFill="1" applyBorder="1" applyAlignment="1" applyProtection="1">
      <alignment horizontal="center" vertical="center"/>
      <protection locked="0"/>
    </xf>
    <xf numFmtId="176" fontId="0" fillId="2" borderId="5" xfId="0" applyNumberFormat="1" applyFill="1" applyBorder="1" applyAlignment="1">
      <alignment horizontal="center"/>
    </xf>
    <xf numFmtId="177" fontId="0" fillId="2" borderId="4" xfId="0" applyNumberFormat="1" applyFill="1" applyBorder="1" applyAlignment="1" applyProtection="1">
      <alignment horizontal="center" vertical="center"/>
      <protection locked="0"/>
    </xf>
    <xf numFmtId="177" fontId="0" fillId="2" borderId="5" xfId="0" applyNumberFormat="1" applyFill="1" applyBorder="1" applyAlignment="1" applyProtection="1">
      <alignment horizontal="left" vertical="center"/>
      <protection locked="0"/>
    </xf>
    <xf numFmtId="177" fontId="0" fillId="2" borderId="0" xfId="0" applyNumberFormat="1" applyFill="1" applyAlignment="1" applyProtection="1">
      <alignment horizontal="left" vertical="center"/>
      <protection locked="0"/>
    </xf>
    <xf numFmtId="177" fontId="0" fillId="2" borderId="5" xfId="0" applyNumberFormat="1" applyFont="1" applyFill="1" applyBorder="1" applyAlignment="1" applyProtection="1">
      <alignment horizontal="left" vertical="center"/>
      <protection locked="0"/>
    </xf>
    <xf numFmtId="185" fontId="0" fillId="2" borderId="5" xfId="0" applyNumberFormat="1" applyFill="1" applyBorder="1" applyAlignment="1" applyProtection="1">
      <alignment horizontal="center" vertical="center"/>
      <protection locked="0"/>
    </xf>
    <xf numFmtId="182" fontId="0" fillId="2" borderId="4" xfId="0" applyNumberFormat="1" applyFill="1" applyBorder="1" applyAlignment="1" applyProtection="1">
      <alignment horizontal="center" vertical="center"/>
      <protection locked="0"/>
    </xf>
    <xf numFmtId="182" fontId="0" fillId="2" borderId="5" xfId="0" applyNumberFormat="1" applyFill="1" applyBorder="1" applyAlignment="1" applyProtection="1">
      <alignment horizontal="left" vertical="center"/>
      <protection locked="0"/>
    </xf>
    <xf numFmtId="182" fontId="0" fillId="2" borderId="5" xfId="0" applyNumberFormat="1" applyFill="1" applyBorder="1" applyAlignment="1" applyProtection="1">
      <alignment horizontal="center" vertical="center"/>
      <protection locked="0"/>
    </xf>
    <xf numFmtId="177" fontId="9" fillId="2" borderId="5" xfId="0" applyNumberFormat="1" applyFont="1" applyFill="1" applyBorder="1" applyAlignment="1">
      <alignment horizontal="center" vertical="center"/>
    </xf>
    <xf numFmtId="177" fontId="0" fillId="2" borderId="5" xfId="0" applyNumberFormat="1" applyFont="1" applyFill="1" applyBorder="1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14" xfId="0" applyFill="1" applyBorder="1" applyAlignment="1" applyProtection="1">
      <alignment horizontal="left" vertical="center"/>
      <protection locked="0"/>
    </xf>
    <xf numFmtId="177" fontId="0" fillId="2" borderId="14" xfId="0" applyNumberFormat="1" applyFill="1" applyBorder="1" applyAlignment="1" applyProtection="1">
      <alignment horizontal="center" vertical="center"/>
      <protection locked="0"/>
    </xf>
    <xf numFmtId="179" fontId="0" fillId="2" borderId="0" xfId="0" applyNumberFormat="1" applyFill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left" vertical="center"/>
      <protection locked="0"/>
    </xf>
    <xf numFmtId="0" fontId="0" fillId="2" borderId="20" xfId="0" applyFill="1" applyBorder="1" applyAlignment="1" applyProtection="1">
      <alignment horizontal="left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9" fontId="0" fillId="2" borderId="20" xfId="0" applyNumberFormat="1" applyFill="1" applyBorder="1" applyAlignment="1" applyProtection="1">
      <alignment horizontal="center" vertical="center"/>
      <protection locked="0"/>
    </xf>
    <xf numFmtId="183" fontId="20" fillId="2" borderId="2" xfId="0" applyNumberFormat="1" applyFont="1" applyFill="1" applyBorder="1" applyAlignment="1">
      <alignment horizontal="center" vertical="center"/>
    </xf>
    <xf numFmtId="0" fontId="0" fillId="2" borderId="21" xfId="0" applyFill="1" applyBorder="1" applyAlignment="1" applyProtection="1">
      <alignment horizontal="left" vertical="center"/>
      <protection locked="0"/>
    </xf>
    <xf numFmtId="0" fontId="0" fillId="2" borderId="22" xfId="0" applyFill="1" applyBorder="1" applyAlignment="1" applyProtection="1">
      <alignment horizontal="left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177" fontId="0" fillId="2" borderId="0" xfId="0" applyNumberForma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82" fontId="4" fillId="2" borderId="2" xfId="0" applyNumberFormat="1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24" xfId="0" applyFont="1" applyFill="1" applyBorder="1" applyAlignment="1" applyProtection="1">
      <alignment horizontal="center" vertical="center" wrapText="1"/>
      <protection locked="0"/>
    </xf>
    <xf numFmtId="0" fontId="4" fillId="2" borderId="25" xfId="0" applyFont="1" applyFill="1" applyBorder="1" applyAlignment="1" applyProtection="1">
      <alignment horizontal="center" vertical="center" wrapText="1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21" fillId="2" borderId="4" xfId="0" applyFont="1" applyFill="1" applyBorder="1" applyAlignment="1" applyProtection="1">
      <alignment horizontal="center" vertical="center"/>
      <protection locked="0"/>
    </xf>
    <xf numFmtId="179" fontId="0" fillId="2" borderId="8" xfId="0" applyNumberFormat="1" applyFill="1" applyBorder="1" applyAlignment="1" applyProtection="1">
      <alignment horizontal="center" vertical="center"/>
      <protection locked="0"/>
    </xf>
    <xf numFmtId="0" fontId="19" fillId="2" borderId="5" xfId="0" applyFont="1" applyFill="1" applyBorder="1" applyAlignment="1" applyProtection="1">
      <alignment horizontal="left" vertical="center"/>
      <protection locked="0"/>
    </xf>
    <xf numFmtId="177" fontId="0" fillId="2" borderId="8" xfId="0" applyNumberFormat="1" applyFill="1" applyBorder="1" applyAlignment="1">
      <alignment horizontal="center" vertical="center"/>
    </xf>
    <xf numFmtId="180" fontId="0" fillId="2" borderId="8" xfId="0" applyNumberFormat="1" applyFill="1" applyBorder="1" applyAlignment="1">
      <alignment horizontal="center" vertical="center"/>
    </xf>
    <xf numFmtId="0" fontId="21" fillId="2" borderId="13" xfId="0" applyFont="1" applyFill="1" applyBorder="1" applyAlignment="1" applyProtection="1">
      <alignment horizontal="center" vertical="center"/>
      <protection locked="0"/>
    </xf>
    <xf numFmtId="0" fontId="19" fillId="2" borderId="14" xfId="0" applyFont="1" applyFill="1" applyBorder="1" applyAlignment="1" applyProtection="1">
      <alignment horizontal="left" vertical="center"/>
      <protection locked="0"/>
    </xf>
    <xf numFmtId="182" fontId="0" fillId="2" borderId="14" xfId="0" applyNumberFormat="1" applyFill="1" applyBorder="1" applyAlignment="1">
      <alignment horizontal="center" vertical="center"/>
    </xf>
    <xf numFmtId="180" fontId="0" fillId="2" borderId="15" xfId="0" applyNumberFormat="1" applyFill="1" applyBorder="1" applyAlignment="1">
      <alignment horizontal="center" vertical="center"/>
    </xf>
    <xf numFmtId="0" fontId="0" fillId="0" borderId="0" xfId="51">
      <alignment vertical="center"/>
    </xf>
    <xf numFmtId="0" fontId="22" fillId="3" borderId="26" xfId="51" applyFont="1" applyFill="1" applyBorder="1" applyAlignment="1">
      <alignment horizontal="center" vertical="center" wrapText="1"/>
    </xf>
    <xf numFmtId="0" fontId="23" fillId="3" borderId="26" xfId="51" applyFont="1" applyFill="1" applyBorder="1" applyAlignment="1">
      <alignment horizontal="center" vertical="center" wrapText="1"/>
    </xf>
    <xf numFmtId="0" fontId="23" fillId="3" borderId="27" xfId="51" applyFont="1" applyFill="1" applyBorder="1" applyAlignment="1">
      <alignment horizontal="center" vertical="center" wrapText="1"/>
    </xf>
    <xf numFmtId="0" fontId="23" fillId="3" borderId="28" xfId="51" applyFont="1" applyFill="1" applyBorder="1" applyAlignment="1">
      <alignment horizontal="center" vertical="center" wrapText="1"/>
    </xf>
    <xf numFmtId="0" fontId="22" fillId="3" borderId="29" xfId="51" applyFont="1" applyFill="1" applyBorder="1" applyAlignment="1">
      <alignment horizontal="center" vertical="center" wrapText="1"/>
    </xf>
    <xf numFmtId="0" fontId="23" fillId="3" borderId="29" xfId="51" applyFont="1" applyFill="1" applyBorder="1" applyAlignment="1">
      <alignment horizontal="center" vertical="center" wrapText="1"/>
    </xf>
    <xf numFmtId="0" fontId="23" fillId="3" borderId="30" xfId="51" applyFont="1" applyFill="1" applyBorder="1" applyAlignment="1">
      <alignment horizontal="center" vertical="center" wrapText="1"/>
    </xf>
    <xf numFmtId="0" fontId="24" fillId="3" borderId="29" xfId="51" applyFont="1" applyFill="1" applyBorder="1" applyAlignment="1">
      <alignment horizontal="center" vertical="center" wrapText="1"/>
    </xf>
    <xf numFmtId="0" fontId="25" fillId="3" borderId="30" xfId="51" applyFont="1" applyFill="1" applyBorder="1" applyAlignment="1">
      <alignment horizontal="center" vertical="center" wrapText="1"/>
    </xf>
    <xf numFmtId="0" fontId="24" fillId="3" borderId="30" xfId="0" applyFont="1" applyFill="1" applyBorder="1" applyAlignment="1">
      <alignment horizontal="center" vertical="center" wrapText="1"/>
    </xf>
    <xf numFmtId="0" fontId="0" fillId="0" borderId="5" xfId="51" applyBorder="1">
      <alignment vertical="center"/>
    </xf>
    <xf numFmtId="0" fontId="0" fillId="0" borderId="0" xfId="54">
      <alignment vertical="center"/>
    </xf>
    <xf numFmtId="0" fontId="26" fillId="0" borderId="0" xfId="54" applyFont="1" applyAlignment="1">
      <alignment horizontal="center" vertical="center"/>
    </xf>
    <xf numFmtId="0" fontId="27" fillId="0" borderId="0" xfId="54" applyFont="1" applyAlignment="1">
      <alignment horizontal="center" vertical="center"/>
    </xf>
    <xf numFmtId="0" fontId="28" fillId="0" borderId="5" xfId="54" applyFont="1" applyBorder="1" applyAlignment="1">
      <alignment horizontal="center" vertical="center"/>
    </xf>
    <xf numFmtId="0" fontId="29" fillId="0" borderId="5" xfId="54" applyFont="1" applyFill="1" applyBorder="1" applyAlignment="1" applyProtection="1">
      <alignment horizontal="center" vertical="center"/>
      <protection locked="0"/>
    </xf>
    <xf numFmtId="0" fontId="28" fillId="0" borderId="5" xfId="51" applyFont="1" applyBorder="1" applyAlignment="1">
      <alignment horizontal="center" vertical="center"/>
    </xf>
    <xf numFmtId="0" fontId="28" fillId="4" borderId="5" xfId="54" applyFont="1" applyFill="1" applyBorder="1" applyAlignment="1">
      <alignment horizontal="center" vertical="center"/>
    </xf>
    <xf numFmtId="0" fontId="28" fillId="5" borderId="5" xfId="49" applyFont="1" applyFill="1" applyBorder="1" applyAlignment="1">
      <alignment horizontal="center" vertical="center"/>
    </xf>
    <xf numFmtId="0" fontId="30" fillId="0" borderId="31" xfId="54" applyFont="1" applyBorder="1" applyAlignment="1">
      <alignment horizontal="center" vertical="center"/>
    </xf>
    <xf numFmtId="0" fontId="20" fillId="0" borderId="5" xfId="54" applyFont="1" applyBorder="1" applyProtection="1">
      <alignment vertical="center"/>
      <protection locked="0"/>
    </xf>
    <xf numFmtId="180" fontId="31" fillId="0" borderId="5" xfId="54" applyNumberFormat="1" applyFont="1" applyBorder="1" applyAlignment="1"/>
    <xf numFmtId="0" fontId="30" fillId="0" borderId="32" xfId="54" applyFont="1" applyBorder="1" applyAlignment="1">
      <alignment horizontal="center" vertical="center"/>
    </xf>
    <xf numFmtId="0" fontId="30" fillId="0" borderId="6" xfId="54" applyFont="1" applyBorder="1" applyAlignment="1">
      <alignment horizontal="center" vertical="center"/>
    </xf>
    <xf numFmtId="0" fontId="28" fillId="6" borderId="33" xfId="54" applyFont="1" applyFill="1" applyBorder="1" applyAlignment="1">
      <alignment horizontal="center"/>
    </xf>
    <xf numFmtId="0" fontId="28" fillId="6" borderId="34" xfId="54" applyFont="1" applyFill="1" applyBorder="1" applyAlignment="1">
      <alignment horizontal="center"/>
    </xf>
    <xf numFmtId="180" fontId="32" fillId="6" borderId="5" xfId="49" applyNumberFormat="1" applyFont="1" applyFill="1" applyBorder="1" applyAlignment="1" applyProtection="1">
      <alignment vertical="center"/>
      <protection locked="0"/>
    </xf>
    <xf numFmtId="0" fontId="30" fillId="0" borderId="31" xfId="54" applyFont="1" applyBorder="1" applyAlignment="1">
      <alignment horizontal="center" vertical="center" wrapText="1"/>
    </xf>
    <xf numFmtId="180" fontId="33" fillId="7" borderId="5" xfId="49" applyNumberFormat="1" applyFont="1" applyFill="1" applyBorder="1" applyAlignment="1" applyProtection="1">
      <alignment vertical="center"/>
      <protection locked="0"/>
    </xf>
    <xf numFmtId="180" fontId="33" fillId="6" borderId="5" xfId="49" applyNumberFormat="1" applyFont="1" applyFill="1" applyBorder="1" applyAlignment="1" applyProtection="1">
      <alignment vertical="center"/>
      <protection locked="0"/>
    </xf>
    <xf numFmtId="0" fontId="34" fillId="8" borderId="33" xfId="54" applyFont="1" applyFill="1" applyBorder="1" applyAlignment="1" applyProtection="1">
      <alignment horizontal="center" vertical="center"/>
      <protection locked="0"/>
    </xf>
    <xf numFmtId="0" fontId="34" fillId="8" borderId="34" xfId="54" applyFont="1" applyFill="1" applyBorder="1" applyAlignment="1" applyProtection="1">
      <alignment horizontal="center" vertical="center"/>
      <protection locked="0"/>
    </xf>
    <xf numFmtId="180" fontId="35" fillId="8" borderId="5" xfId="54" applyNumberFormat="1" applyFont="1" applyFill="1" applyBorder="1" applyAlignment="1"/>
    <xf numFmtId="0" fontId="34" fillId="9" borderId="33" xfId="54" applyFont="1" applyFill="1" applyBorder="1" applyAlignment="1" applyProtection="1">
      <alignment horizontal="center" vertical="center"/>
      <protection locked="0"/>
    </xf>
    <xf numFmtId="0" fontId="34" fillId="9" borderId="34" xfId="54" applyFont="1" applyFill="1" applyBorder="1" applyAlignment="1" applyProtection="1">
      <alignment horizontal="center" vertical="center"/>
      <protection locked="0"/>
    </xf>
    <xf numFmtId="180" fontId="35" fillId="9" borderId="5" xfId="54" applyNumberFormat="1" applyFont="1" applyFill="1" applyBorder="1" applyAlignment="1"/>
    <xf numFmtId="0" fontId="30" fillId="10" borderId="5" xfId="54" applyFont="1" applyFill="1" applyBorder="1" applyAlignment="1">
      <alignment horizontal="center"/>
    </xf>
    <xf numFmtId="0" fontId="30" fillId="10" borderId="5" xfId="54" applyFont="1" applyFill="1" applyBorder="1" applyAlignment="1"/>
    <xf numFmtId="0" fontId="36" fillId="10" borderId="5" xfId="54" applyFont="1" applyFill="1" applyBorder="1" applyAlignment="1"/>
    <xf numFmtId="186" fontId="36" fillId="10" borderId="5" xfId="54" applyNumberFormat="1" applyFont="1" applyFill="1" applyBorder="1" applyAlignment="1"/>
    <xf numFmtId="0" fontId="30" fillId="11" borderId="5" xfId="54" applyFont="1" applyFill="1" applyBorder="1" applyAlignment="1">
      <alignment horizontal="center"/>
    </xf>
    <xf numFmtId="0" fontId="30" fillId="11" borderId="5" xfId="54" applyFont="1" applyFill="1" applyBorder="1" applyAlignment="1"/>
    <xf numFmtId="0" fontId="36" fillId="11" borderId="5" xfId="54" applyFont="1" applyFill="1" applyBorder="1" applyAlignment="1"/>
    <xf numFmtId="0" fontId="0" fillId="12" borderId="0" xfId="54" applyFill="1">
      <alignment vertical="center"/>
    </xf>
    <xf numFmtId="0" fontId="0" fillId="13" borderId="0" xfId="54" applyFill="1">
      <alignment vertical="center"/>
    </xf>
    <xf numFmtId="0" fontId="22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9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182" fontId="0" fillId="0" borderId="0" xfId="0" applyNumberFormat="1">
      <alignment vertical="center"/>
    </xf>
    <xf numFmtId="182" fontId="0" fillId="14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0" borderId="5" xfId="52" applyFont="1" applyBorder="1" applyAlignment="1">
      <alignment horizontal="center" vertical="center"/>
    </xf>
    <xf numFmtId="0" fontId="4" fillId="0" borderId="5" xfId="0" applyFont="1" applyBorder="1" applyAlignment="1" applyProtection="1">
      <alignment horizontal="center" vertical="center"/>
      <protection locked="0"/>
    </xf>
    <xf numFmtId="0" fontId="24" fillId="0" borderId="5" xfId="0" applyFont="1" applyBorder="1" applyAlignment="1">
      <alignment horizontal="center" vertical="center" wrapText="1"/>
    </xf>
    <xf numFmtId="182" fontId="25" fillId="0" borderId="5" xfId="0" applyNumberFormat="1" applyFont="1" applyBorder="1">
      <alignment vertical="center"/>
    </xf>
    <xf numFmtId="182" fontId="0" fillId="0" borderId="5" xfId="0" applyNumberFormat="1" applyBorder="1" applyAlignment="1">
      <alignment horizontal="center" vertical="center"/>
    </xf>
    <xf numFmtId="182" fontId="0" fillId="0" borderId="5" xfId="0" applyNumberFormat="1" applyFont="1" applyFill="1" applyBorder="1" applyAlignment="1">
      <alignment horizontal="center" vertical="center"/>
    </xf>
    <xf numFmtId="10" fontId="0" fillId="0" borderId="5" xfId="0" applyNumberFormat="1" applyFill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82" fontId="0" fillId="0" borderId="5" xfId="0" applyNumberFormat="1" applyFont="1" applyBorder="1" applyAlignment="1">
      <alignment horizontal="center" vertical="center"/>
    </xf>
    <xf numFmtId="182" fontId="0" fillId="0" borderId="5" xfId="0" applyNumberFormat="1" applyFill="1" applyBorder="1" applyAlignment="1">
      <alignment horizontal="center" vertical="center"/>
    </xf>
    <xf numFmtId="182" fontId="0" fillId="14" borderId="5" xfId="0" applyNumberFormat="1" applyFont="1" applyFill="1" applyBorder="1" applyAlignment="1">
      <alignment horizontal="center" vertical="center"/>
    </xf>
    <xf numFmtId="182" fontId="0" fillId="14" borderId="5" xfId="0" applyNumberFormat="1" applyFill="1" applyBorder="1" applyAlignment="1">
      <alignment horizontal="center" vertical="center"/>
    </xf>
    <xf numFmtId="182" fontId="0" fillId="0" borderId="0" xfId="0" applyNumberFormat="1" applyFont="1">
      <alignment vertical="center"/>
    </xf>
    <xf numFmtId="0" fontId="22" fillId="3" borderId="26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24" fillId="3" borderId="29" xfId="0" applyFont="1" applyFill="1" applyBorder="1" applyAlignment="1">
      <alignment horizontal="center" vertical="center" wrapText="1"/>
    </xf>
    <xf numFmtId="0" fontId="39" fillId="3" borderId="36" xfId="0" applyFont="1" applyFill="1" applyBorder="1" applyAlignment="1">
      <alignment horizontal="center" vertical="center" wrapText="1"/>
    </xf>
    <xf numFmtId="0" fontId="39" fillId="3" borderId="29" xfId="0" applyFont="1" applyFill="1" applyBorder="1" applyAlignment="1">
      <alignment horizontal="center" vertical="center" wrapText="1"/>
    </xf>
    <xf numFmtId="0" fontId="39" fillId="3" borderId="3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/>
    <xf numFmtId="0" fontId="10" fillId="2" borderId="0" xfId="0" applyFont="1" applyFill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0" fillId="2" borderId="5" xfId="0" applyFill="1" applyBorder="1" applyAlignment="1"/>
    <xf numFmtId="182" fontId="0" fillId="2" borderId="5" xfId="0" applyNumberFormat="1" applyFill="1" applyBorder="1" applyAlignment="1"/>
    <xf numFmtId="0" fontId="41" fillId="0" borderId="4" xfId="0" applyFont="1" applyBorder="1" applyAlignment="1">
      <alignment horizontal="left" vertical="center"/>
    </xf>
    <xf numFmtId="0" fontId="40" fillId="0" borderId="5" xfId="0" applyFont="1" applyBorder="1" applyAlignment="1">
      <alignment horizontal="justify" vertical="center"/>
    </xf>
    <xf numFmtId="0" fontId="40" fillId="0" borderId="5" xfId="0" applyFont="1" applyBorder="1" applyAlignment="1">
      <alignment horizontal="center" vertical="center"/>
    </xf>
    <xf numFmtId="183" fontId="40" fillId="0" borderId="8" xfId="0" applyNumberFormat="1" applyFont="1" applyBorder="1" applyAlignment="1">
      <alignment horizontal="right" vertical="center"/>
    </xf>
    <xf numFmtId="178" fontId="0" fillId="2" borderId="5" xfId="0" applyNumberFormat="1" applyFill="1" applyBorder="1" applyAlignment="1"/>
    <xf numFmtId="184" fontId="40" fillId="0" borderId="8" xfId="0" applyNumberFormat="1" applyFont="1" applyBorder="1" applyAlignment="1">
      <alignment horizontal="right" vertical="center"/>
    </xf>
    <xf numFmtId="0" fontId="41" fillId="0" borderId="5" xfId="0" applyFont="1" applyBorder="1" applyAlignment="1">
      <alignment horizontal="center" vertical="center"/>
    </xf>
    <xf numFmtId="10" fontId="40" fillId="0" borderId="8" xfId="0" applyNumberFormat="1" applyFont="1" applyBorder="1" applyAlignment="1">
      <alignment horizontal="right" vertical="center"/>
    </xf>
    <xf numFmtId="0" fontId="41" fillId="0" borderId="13" xfId="0" applyFont="1" applyBorder="1" applyAlignment="1">
      <alignment horizontal="left" vertical="center"/>
    </xf>
    <xf numFmtId="0" fontId="40" fillId="0" borderId="14" xfId="0" applyFont="1" applyBorder="1" applyAlignment="1">
      <alignment horizontal="justify" vertical="center"/>
    </xf>
    <xf numFmtId="0" fontId="40" fillId="0" borderId="14" xfId="0" applyFont="1" applyBorder="1" applyAlignment="1">
      <alignment horizontal="center" vertical="center"/>
    </xf>
    <xf numFmtId="182" fontId="40" fillId="0" borderId="15" xfId="0" applyNumberFormat="1" applyFont="1" applyBorder="1" applyAlignment="1">
      <alignment horizontal="right" vertical="center"/>
    </xf>
    <xf numFmtId="0" fontId="0" fillId="2" borderId="19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35" xfId="0" applyFill="1" applyBorder="1" applyAlignment="1">
      <alignment horizontal="left" vertical="top" wrapText="1"/>
    </xf>
    <xf numFmtId="0" fontId="0" fillId="2" borderId="37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38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30" xfId="0" applyFill="1" applyBorder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0" fillId="0" borderId="0" xfId="0" applyFill="1">
      <alignment vertical="center"/>
    </xf>
    <xf numFmtId="0" fontId="32" fillId="0" borderId="5" xfId="0" applyFont="1" applyFill="1" applyBorder="1" applyAlignment="1">
      <alignment vertical="center" wrapText="1"/>
    </xf>
    <xf numFmtId="0" fontId="34" fillId="15" borderId="5" xfId="0" applyFont="1" applyFill="1" applyBorder="1" applyAlignment="1">
      <alignment horizontal="center" vertical="center" wrapText="1"/>
    </xf>
    <xf numFmtId="184" fontId="34" fillId="15" borderId="5" xfId="0" applyNumberFormat="1" applyFont="1" applyFill="1" applyBorder="1" applyAlignment="1">
      <alignment horizontal="center" vertical="center" wrapText="1"/>
    </xf>
    <xf numFmtId="176" fontId="34" fillId="15" borderId="5" xfId="0" applyNumberFormat="1" applyFont="1" applyFill="1" applyBorder="1" applyAlignment="1">
      <alignment horizontal="center" vertical="center" wrapText="1"/>
    </xf>
    <xf numFmtId="0" fontId="37" fillId="15" borderId="5" xfId="0" applyFont="1" applyFill="1" applyBorder="1" applyAlignment="1">
      <alignment vertical="center"/>
    </xf>
    <xf numFmtId="0" fontId="20" fillId="0" borderId="5" xfId="0" applyFont="1" applyFill="1" applyBorder="1" applyAlignment="1">
      <alignment horizontal="center" vertical="center" wrapText="1"/>
    </xf>
    <xf numFmtId="184" fontId="20" fillId="0" borderId="5" xfId="0" applyNumberFormat="1" applyFont="1" applyFill="1" applyBorder="1" applyAlignment="1">
      <alignment horizontal="center" vertical="center" wrapText="1"/>
    </xf>
    <xf numFmtId="176" fontId="20" fillId="0" borderId="5" xfId="0" applyNumberFormat="1" applyFont="1" applyFill="1" applyBorder="1" applyAlignment="1">
      <alignment horizontal="center" vertical="center" wrapText="1"/>
    </xf>
    <xf numFmtId="184" fontId="20" fillId="0" borderId="5" xfId="0" applyNumberFormat="1" applyFont="1" applyFill="1" applyBorder="1" applyAlignment="1">
      <alignment horizontal="left" vertical="center" wrapText="1"/>
    </xf>
    <xf numFmtId="0" fontId="37" fillId="15" borderId="5" xfId="0" applyFont="1" applyFill="1" applyBorder="1" applyAlignment="1">
      <alignment vertical="center" wrapText="1"/>
    </xf>
    <xf numFmtId="0" fontId="34" fillId="0" borderId="5" xfId="0" applyFont="1" applyFill="1" applyBorder="1" applyAlignment="1">
      <alignment horizontal="center" vertical="center" wrapText="1"/>
    </xf>
    <xf numFmtId="176" fontId="34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0" fontId="20" fillId="0" borderId="0" xfId="0" applyFont="1" applyFill="1" applyAlignment="1">
      <alignment horizontal="center" vertical="center" wrapText="1"/>
    </xf>
    <xf numFmtId="0" fontId="8" fillId="0" borderId="5" xfId="0" applyFont="1" applyFill="1" applyBorder="1" applyAlignment="1">
      <alignment vertical="center"/>
    </xf>
    <xf numFmtId="184" fontId="34" fillId="0" borderId="5" xfId="0" applyNumberFormat="1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vertical="center" wrapText="1"/>
    </xf>
    <xf numFmtId="0" fontId="42" fillId="15" borderId="5" xfId="0" applyFont="1" applyFill="1" applyBorder="1" applyAlignment="1">
      <alignment vertical="center" wrapText="1"/>
    </xf>
    <xf numFmtId="0" fontId="43" fillId="0" borderId="5" xfId="0" applyFont="1" applyFill="1" applyBorder="1" applyAlignment="1">
      <alignment horizontal="center" vertical="center" wrapText="1"/>
    </xf>
    <xf numFmtId="183" fontId="20" fillId="0" borderId="5" xfId="0" applyNumberFormat="1" applyFont="1" applyFill="1" applyBorder="1" applyAlignment="1">
      <alignment horizontal="center" vertical="center" wrapText="1"/>
    </xf>
    <xf numFmtId="0" fontId="44" fillId="0" borderId="5" xfId="0" applyFont="1" applyFill="1" applyBorder="1" applyAlignment="1">
      <alignment horizontal="center" vertical="center" wrapText="1"/>
    </xf>
    <xf numFmtId="176" fontId="20" fillId="0" borderId="33" xfId="0" applyNumberFormat="1" applyFont="1" applyFill="1" applyBorder="1" applyAlignment="1">
      <alignment horizontal="center" vertical="center" wrapText="1"/>
    </xf>
    <xf numFmtId="182" fontId="20" fillId="0" borderId="5" xfId="0" applyNumberFormat="1" applyFont="1" applyFill="1" applyBorder="1" applyAlignment="1">
      <alignment horizontal="center" vertical="center" wrapText="1"/>
    </xf>
    <xf numFmtId="0" fontId="45" fillId="15" borderId="5" xfId="0" applyFont="1" applyFill="1" applyBorder="1" applyAlignment="1">
      <alignment vertical="center" wrapText="1"/>
    </xf>
    <xf numFmtId="182" fontId="34" fillId="0" borderId="5" xfId="0" applyNumberFormat="1" applyFont="1" applyFill="1" applyBorder="1" applyAlignment="1">
      <alignment horizontal="center" vertical="center" wrapText="1"/>
    </xf>
    <xf numFmtId="0" fontId="45" fillId="0" borderId="5" xfId="0" applyFont="1" applyFill="1" applyBorder="1" applyAlignment="1">
      <alignment horizontal="left" vertical="center" wrapText="1"/>
    </xf>
    <xf numFmtId="0" fontId="46" fillId="16" borderId="5" xfId="0" applyFont="1" applyFill="1" applyBorder="1" applyAlignment="1">
      <alignment horizontal="center" vertical="center"/>
    </xf>
    <xf numFmtId="0" fontId="34" fillId="16" borderId="5" xfId="0" applyFont="1" applyFill="1" applyBorder="1" applyAlignment="1">
      <alignment horizontal="center"/>
    </xf>
    <xf numFmtId="187" fontId="34" fillId="16" borderId="5" xfId="0" applyNumberFormat="1" applyFont="1" applyFill="1" applyBorder="1" applyAlignment="1">
      <alignment horizontal="center"/>
    </xf>
    <xf numFmtId="0" fontId="34" fillId="16" borderId="5" xfId="0" applyFont="1" applyFill="1" applyBorder="1" applyAlignment="1">
      <alignment horizontal="right"/>
    </xf>
    <xf numFmtId="0" fontId="47" fillId="16" borderId="5" xfId="0" applyFont="1" applyFill="1" applyBorder="1" applyAlignment="1">
      <alignment horizontal="center"/>
    </xf>
    <xf numFmtId="187" fontId="47" fillId="16" borderId="5" xfId="0" applyNumberFormat="1" applyFont="1" applyFill="1" applyBorder="1" applyAlignment="1">
      <alignment horizontal="center"/>
    </xf>
    <xf numFmtId="0" fontId="48" fillId="16" borderId="5" xfId="0" applyFont="1" applyFill="1" applyBorder="1" applyAlignment="1">
      <alignment horizontal="center"/>
    </xf>
    <xf numFmtId="0" fontId="48" fillId="16" borderId="5" xfId="0" applyFont="1" applyFill="1" applyBorder="1" applyAlignment="1">
      <alignment horizontal="left"/>
    </xf>
    <xf numFmtId="182" fontId="48" fillId="16" borderId="5" xfId="0" applyNumberFormat="1" applyFont="1" applyFill="1" applyBorder="1" applyAlignment="1">
      <alignment horizontal="left"/>
    </xf>
    <xf numFmtId="187" fontId="48" fillId="16" borderId="5" xfId="0" applyNumberFormat="1" applyFont="1" applyFill="1" applyBorder="1" applyAlignment="1">
      <alignment horizontal="center"/>
    </xf>
    <xf numFmtId="0" fontId="48" fillId="16" borderId="5" xfId="0" applyFont="1" applyFill="1" applyBorder="1" applyAlignment="1">
      <alignment horizontal="right"/>
    </xf>
    <xf numFmtId="0" fontId="34" fillId="16" borderId="5" xfId="0" applyFont="1" applyFill="1" applyBorder="1" applyAlignment="1">
      <alignment horizontal="left"/>
    </xf>
    <xf numFmtId="0" fontId="0" fillId="0" borderId="0" xfId="50">
      <alignment vertical="center"/>
    </xf>
    <xf numFmtId="49" fontId="49" fillId="2" borderId="0" xfId="53" applyNumberFormat="1" applyFont="1" applyFill="1" applyAlignment="1" applyProtection="1">
      <alignment horizontal="center" vertical="center"/>
      <protection locked="0"/>
    </xf>
    <xf numFmtId="3" fontId="49" fillId="2" borderId="0" xfId="53" applyNumberFormat="1" applyFont="1" applyFill="1" applyAlignment="1" applyProtection="1">
      <alignment horizontal="center" vertical="center"/>
      <protection locked="0"/>
    </xf>
    <xf numFmtId="0" fontId="49" fillId="2" borderId="0" xfId="53" applyFont="1" applyFill="1" applyAlignment="1" applyProtection="1">
      <alignment horizontal="center" vertical="center"/>
      <protection locked="0"/>
    </xf>
    <xf numFmtId="0" fontId="0" fillId="2" borderId="0" xfId="50" applyFill="1">
      <alignment vertical="center"/>
    </xf>
    <xf numFmtId="3" fontId="20" fillId="2" borderId="0" xfId="53" applyNumberFormat="1" applyFont="1" applyFill="1" applyAlignment="1" applyProtection="1">
      <protection locked="0"/>
    </xf>
    <xf numFmtId="0" fontId="20" fillId="2" borderId="0" xfId="53" applyFont="1" applyFill="1" applyProtection="1">
      <alignment vertical="center"/>
      <protection locked="0"/>
    </xf>
    <xf numFmtId="3" fontId="20" fillId="2" borderId="0" xfId="53" applyNumberFormat="1" applyFont="1" applyFill="1" applyAlignment="1" applyProtection="1">
      <alignment horizontal="right" vertical="center"/>
      <protection locked="0"/>
    </xf>
    <xf numFmtId="0" fontId="20" fillId="2" borderId="0" xfId="53" applyFont="1" applyFill="1" applyAlignment="1" applyProtection="1">
      <alignment horizontal="right" vertical="center"/>
      <protection locked="0"/>
    </xf>
    <xf numFmtId="0" fontId="50" fillId="7" borderId="33" xfId="50" applyFont="1" applyFill="1" applyBorder="1" applyAlignment="1">
      <alignment horizontal="center" vertical="center"/>
    </xf>
    <xf numFmtId="0" fontId="50" fillId="7" borderId="39" xfId="50" applyFont="1" applyFill="1" applyBorder="1" applyAlignment="1">
      <alignment horizontal="center" vertical="center"/>
    </xf>
    <xf numFmtId="0" fontId="50" fillId="7" borderId="34" xfId="50" applyFont="1" applyFill="1" applyBorder="1" applyAlignment="1">
      <alignment horizontal="center" vertical="center"/>
    </xf>
    <xf numFmtId="0" fontId="20" fillId="2" borderId="0" xfId="53" applyFont="1" applyFill="1" applyAlignment="1" applyProtection="1">
      <alignment horizontal="left" vertical="center"/>
      <protection locked="0"/>
    </xf>
    <xf numFmtId="49" fontId="20" fillId="2" borderId="0" xfId="53" applyNumberFormat="1" applyFont="1" applyFill="1" applyAlignment="1" applyProtection="1">
      <alignment horizontal="left" vertical="center"/>
      <protection locked="0"/>
    </xf>
    <xf numFmtId="0" fontId="20" fillId="2" borderId="0" xfId="53" applyFont="1" applyFill="1" applyAlignment="1" applyProtection="1">
      <alignment horizontal="center" vertical="center"/>
      <protection locked="0"/>
    </xf>
    <xf numFmtId="49" fontId="51" fillId="17" borderId="40" xfId="53" applyNumberFormat="1" applyFont="1" applyFill="1" applyBorder="1" applyAlignment="1" applyProtection="1">
      <alignment horizontal="center" vertical="center"/>
      <protection locked="0"/>
    </xf>
    <xf numFmtId="0" fontId="8" fillId="2" borderId="0" xfId="53" applyFill="1">
      <alignment vertical="center"/>
    </xf>
    <xf numFmtId="3" fontId="51" fillId="17" borderId="5" xfId="53" applyNumberFormat="1" applyFont="1" applyFill="1" applyBorder="1" applyAlignment="1" applyProtection="1">
      <alignment horizontal="center" vertical="center"/>
      <protection locked="0"/>
    </xf>
    <xf numFmtId="49" fontId="51" fillId="17" borderId="5" xfId="53" applyNumberFormat="1" applyFont="1" applyFill="1" applyBorder="1" applyAlignment="1" applyProtection="1">
      <alignment horizontal="center" vertical="center"/>
      <protection locked="0"/>
    </xf>
    <xf numFmtId="0" fontId="52" fillId="7" borderId="11" xfId="53" applyFont="1" applyFill="1" applyBorder="1" applyAlignment="1">
      <alignment horizontal="center" vertical="center"/>
    </xf>
    <xf numFmtId="49" fontId="51" fillId="17" borderId="41" xfId="53" applyNumberFormat="1" applyFont="1" applyFill="1" applyBorder="1" applyAlignment="1" applyProtection="1">
      <alignment horizontal="center" vertical="center"/>
      <protection locked="0"/>
    </xf>
    <xf numFmtId="3" fontId="34" fillId="0" borderId="5" xfId="53" applyNumberFormat="1" applyFont="1" applyBorder="1" applyProtection="1">
      <alignment vertical="center"/>
      <protection locked="0"/>
    </xf>
    <xf numFmtId="49" fontId="20" fillId="0" borderId="5" xfId="53" applyNumberFormat="1" applyFont="1" applyBorder="1" applyAlignment="1" applyProtection="1">
      <alignment horizontal="center" vertical="center"/>
      <protection locked="0"/>
    </xf>
    <xf numFmtId="39" fontId="20" fillId="16" borderId="5" xfId="53" applyNumberFormat="1" applyFont="1" applyFill="1" applyBorder="1" applyAlignment="1" applyProtection="1">
      <alignment horizontal="center" vertical="center"/>
      <protection locked="0"/>
    </xf>
    <xf numFmtId="49" fontId="20" fillId="16" borderId="5" xfId="53" applyNumberFormat="1" applyFont="1" applyFill="1" applyBorder="1" applyAlignment="1" applyProtection="1">
      <alignment horizontal="center" vertical="center"/>
      <protection locked="0"/>
    </xf>
    <xf numFmtId="188" fontId="20" fillId="16" borderId="5" xfId="53" applyNumberFormat="1" applyFont="1" applyFill="1" applyBorder="1" applyAlignment="1" applyProtection="1">
      <alignment horizontal="center" vertical="center"/>
      <protection locked="0"/>
    </xf>
    <xf numFmtId="178" fontId="20" fillId="9" borderId="11" xfId="53" applyNumberFormat="1" applyFont="1" applyFill="1" applyBorder="1" applyAlignment="1" applyProtection="1">
      <alignment horizontal="center" vertical="center"/>
      <protection locked="0"/>
    </xf>
    <xf numFmtId="39" fontId="20" fillId="16" borderId="11" xfId="53" applyNumberFormat="1" applyFont="1" applyFill="1" applyBorder="1" applyAlignment="1" applyProtection="1">
      <alignment horizontal="center" vertical="center"/>
      <protection locked="0"/>
    </xf>
    <xf numFmtId="49" fontId="20" fillId="16" borderId="42" xfId="53" applyNumberFormat="1" applyFont="1" applyFill="1" applyBorder="1" applyAlignment="1" applyProtection="1">
      <alignment horizontal="center" vertical="center"/>
      <protection locked="0"/>
    </xf>
    <xf numFmtId="3" fontId="20" fillId="0" borderId="5" xfId="53" applyNumberFormat="1" applyFont="1" applyBorder="1" applyProtection="1">
      <alignment vertical="center"/>
      <protection locked="0"/>
    </xf>
    <xf numFmtId="189" fontId="20" fillId="16" borderId="5" xfId="53" applyNumberFormat="1" applyFont="1" applyFill="1" applyBorder="1" applyAlignment="1" applyProtection="1">
      <alignment horizontal="center" vertical="center"/>
      <protection locked="0"/>
    </xf>
    <xf numFmtId="39" fontId="20" fillId="16" borderId="42" xfId="53" applyNumberFormat="1" applyFont="1" applyFill="1" applyBorder="1" applyAlignment="1" applyProtection="1">
      <alignment horizontal="center" vertical="center"/>
      <protection locked="0"/>
    </xf>
    <xf numFmtId="0" fontId="8" fillId="18" borderId="0" xfId="53" applyFill="1" applyAlignment="1">
      <alignment vertical="center" wrapText="1"/>
    </xf>
    <xf numFmtId="0" fontId="0" fillId="2" borderId="5" xfId="50" applyFill="1" applyBorder="1" applyAlignment="1">
      <alignment horizontal="center" vertical="center"/>
    </xf>
    <xf numFmtId="178" fontId="20" fillId="15" borderId="11" xfId="53" applyNumberFormat="1" applyFont="1" applyFill="1" applyBorder="1" applyAlignment="1" applyProtection="1">
      <alignment horizontal="center" vertical="center"/>
      <protection locked="0"/>
    </xf>
    <xf numFmtId="0" fontId="8" fillId="18" borderId="0" xfId="53" applyFill="1">
      <alignment vertical="center"/>
    </xf>
    <xf numFmtId="0" fontId="8" fillId="2" borderId="0" xfId="53" applyFont="1" applyFill="1">
      <alignment vertical="center"/>
    </xf>
    <xf numFmtId="0" fontId="20" fillId="0" borderId="5" xfId="53" applyFont="1" applyBorder="1" applyProtection="1">
      <alignment vertical="center"/>
      <protection locked="0"/>
    </xf>
    <xf numFmtId="0" fontId="34" fillId="0" borderId="5" xfId="53" applyFont="1" applyBorder="1" applyProtection="1">
      <alignment vertical="center"/>
      <protection locked="0"/>
    </xf>
    <xf numFmtId="0" fontId="32" fillId="0" borderId="5" xfId="53" applyFont="1" applyBorder="1" applyProtection="1">
      <alignment vertical="center"/>
      <protection locked="0"/>
    </xf>
    <xf numFmtId="0" fontId="8" fillId="18" borderId="0" xfId="53" applyFont="1" applyFill="1">
      <alignment vertical="center"/>
    </xf>
    <xf numFmtId="178" fontId="8" fillId="2" borderId="0" xfId="53" applyNumberFormat="1" applyFill="1">
      <alignment vertical="center"/>
    </xf>
    <xf numFmtId="39" fontId="20" fillId="2" borderId="5" xfId="53" applyNumberFormat="1" applyFont="1" applyFill="1" applyBorder="1" applyAlignment="1" applyProtection="1">
      <alignment horizontal="center" vertical="center"/>
      <protection locked="0"/>
    </xf>
    <xf numFmtId="39" fontId="20" fillId="0" borderId="5" xfId="53" applyNumberFormat="1" applyFont="1" applyBorder="1" applyAlignment="1" applyProtection="1">
      <alignment horizontal="center" vertical="center"/>
      <protection locked="0"/>
    </xf>
    <xf numFmtId="189" fontId="20" fillId="0" borderId="5" xfId="53" applyNumberFormat="1" applyFont="1" applyBorder="1" applyAlignment="1" applyProtection="1">
      <alignment horizontal="center" vertical="center"/>
      <protection locked="0"/>
    </xf>
    <xf numFmtId="178" fontId="20" fillId="16" borderId="11" xfId="53" applyNumberFormat="1" applyFont="1" applyFill="1" applyBorder="1" applyAlignment="1" applyProtection="1">
      <alignment horizontal="center" vertical="center"/>
      <protection locked="0"/>
    </xf>
    <xf numFmtId="3" fontId="34" fillId="0" borderId="14" xfId="53" applyNumberFormat="1" applyFont="1" applyBorder="1" applyProtection="1">
      <alignment vertical="center"/>
      <protection locked="0"/>
    </xf>
    <xf numFmtId="39" fontId="20" fillId="0" borderId="14" xfId="53" applyNumberFormat="1" applyFont="1" applyBorder="1" applyAlignment="1" applyProtection="1">
      <alignment horizontal="center" vertical="center"/>
      <protection locked="0"/>
    </xf>
    <xf numFmtId="189" fontId="20" fillId="0" borderId="14" xfId="53" applyNumberFormat="1" applyFont="1" applyBorder="1" applyAlignment="1" applyProtection="1">
      <alignment horizontal="center" vertical="center"/>
      <protection locked="0"/>
    </xf>
    <xf numFmtId="39" fontId="20" fillId="9" borderId="43" xfId="53" applyNumberFormat="1" applyFont="1" applyFill="1" applyBorder="1" applyAlignment="1" applyProtection="1">
      <alignment horizontal="center" vertical="center"/>
      <protection locked="0"/>
    </xf>
    <xf numFmtId="39" fontId="20" fillId="16" borderId="44" xfId="53" applyNumberFormat="1" applyFont="1" applyFill="1" applyBorder="1" applyAlignment="1" applyProtection="1">
      <alignment horizontal="center" vertical="center"/>
      <protection locked="0"/>
    </xf>
    <xf numFmtId="0" fontId="8" fillId="0" borderId="5" xfId="53" applyBorder="1">
      <alignment vertical="center"/>
    </xf>
    <xf numFmtId="3" fontId="34" fillId="0" borderId="5" xfId="53" applyNumberFormat="1" applyFont="1" applyBorder="1" applyAlignment="1" applyProtection="1">
      <alignment horizontal="center" vertical="center"/>
      <protection locked="0"/>
    </xf>
    <xf numFmtId="39" fontId="20" fillId="19" borderId="5" xfId="53" applyNumberFormat="1" applyFont="1" applyFill="1" applyBorder="1" applyAlignment="1" applyProtection="1">
      <alignment horizontal="center" vertical="center"/>
      <protection locked="0"/>
    </xf>
    <xf numFmtId="3" fontId="34" fillId="2" borderId="5" xfId="53" applyNumberFormat="1" applyFont="1" applyFill="1" applyBorder="1" applyAlignment="1" applyProtection="1">
      <alignment horizontal="center" vertical="center"/>
      <protection locked="0"/>
    </xf>
    <xf numFmtId="39" fontId="20" fillId="2" borderId="43" xfId="53" applyNumberFormat="1" applyFont="1" applyFill="1" applyBorder="1" applyAlignment="1" applyProtection="1">
      <alignment horizontal="center" vertical="center"/>
      <protection locked="0"/>
    </xf>
    <xf numFmtId="3" fontId="34" fillId="0" borderId="45" xfId="53" applyNumberFormat="1" applyFont="1" applyBorder="1" applyAlignment="1" applyProtection="1">
      <alignment horizontal="center" vertical="center"/>
      <protection locked="0"/>
    </xf>
    <xf numFmtId="3" fontId="34" fillId="0" borderId="46" xfId="53" applyNumberFormat="1" applyFont="1" applyBorder="1" applyAlignment="1" applyProtection="1">
      <alignment horizontal="center" vertical="center"/>
      <protection locked="0"/>
    </xf>
    <xf numFmtId="3" fontId="34" fillId="0" borderId="47" xfId="53" applyNumberFormat="1" applyFont="1" applyBorder="1" applyAlignment="1" applyProtection="1">
      <alignment horizontal="center" vertical="center"/>
      <protection locked="0"/>
    </xf>
    <xf numFmtId="39" fontId="20" fillId="16" borderId="48" xfId="53" applyNumberFormat="1" applyFont="1" applyFill="1" applyBorder="1" applyAlignment="1" applyProtection="1">
      <alignment horizontal="center" vertical="center"/>
      <protection locked="0"/>
    </xf>
    <xf numFmtId="39" fontId="20" fillId="16" borderId="49" xfId="53" applyNumberFormat="1" applyFont="1" applyFill="1" applyBorder="1" applyAlignment="1" applyProtection="1">
      <alignment horizontal="center" vertical="center"/>
      <protection locked="0"/>
    </xf>
    <xf numFmtId="39" fontId="20" fillId="19" borderId="50" xfId="53" applyNumberFormat="1" applyFont="1" applyFill="1" applyBorder="1" applyAlignment="1" applyProtection="1">
      <alignment horizontal="center" vertical="center"/>
      <protection locked="0"/>
    </xf>
    <xf numFmtId="0" fontId="8" fillId="0" borderId="0" xfId="53">
      <alignment vertical="center"/>
    </xf>
    <xf numFmtId="186" fontId="0" fillId="2" borderId="0" xfId="50" applyNumberFormat="1" applyFill="1">
      <alignment vertical="center"/>
    </xf>
    <xf numFmtId="0" fontId="52" fillId="0" borderId="0" xfId="53" applyFont="1">
      <alignment vertical="center"/>
    </xf>
    <xf numFmtId="186" fontId="8" fillId="2" borderId="0" xfId="53" applyNumberFormat="1" applyFill="1">
      <alignment vertical="center"/>
    </xf>
    <xf numFmtId="190" fontId="0" fillId="2" borderId="0" xfId="50" applyNumberFormat="1" applyFill="1">
      <alignment vertical="center"/>
    </xf>
    <xf numFmtId="0" fontId="0" fillId="2" borderId="1" xfId="0" applyFill="1" applyBorder="1">
      <alignment vertical="center"/>
    </xf>
    <xf numFmtId="181" fontId="18" fillId="2" borderId="2" xfId="0" applyNumberFormat="1" applyFont="1" applyFill="1" applyBorder="1" applyAlignment="1" applyProtection="1">
      <alignment horizontal="center" vertical="center"/>
      <protection locked="0"/>
    </xf>
    <xf numFmtId="181" fontId="18" fillId="2" borderId="3" xfId="0" applyNumberFormat="1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left" vertical="center" wrapText="1"/>
    </xf>
    <xf numFmtId="0" fontId="25" fillId="2" borderId="4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8" fontId="0" fillId="2" borderId="5" xfId="0" applyNumberFormat="1" applyFill="1" applyBorder="1">
      <alignment vertical="center"/>
    </xf>
    <xf numFmtId="178" fontId="0" fillId="2" borderId="8" xfId="0" applyNumberFormat="1" applyFill="1" applyBorder="1">
      <alignment vertical="center"/>
    </xf>
    <xf numFmtId="184" fontId="0" fillId="2" borderId="8" xfId="0" applyNumberFormat="1" applyFill="1" applyBorder="1" applyAlignment="1">
      <alignment horizontal="center" vertical="center"/>
    </xf>
    <xf numFmtId="182" fontId="0" fillId="2" borderId="8" xfId="0" applyNumberFormat="1" applyFill="1" applyBorder="1" applyAlignment="1">
      <alignment horizontal="center" vertical="center"/>
    </xf>
    <xf numFmtId="0" fontId="0" fillId="2" borderId="4" xfId="0" applyFont="1" applyFill="1" applyBorder="1">
      <alignment vertical="center"/>
    </xf>
    <xf numFmtId="184" fontId="0" fillId="2" borderId="5" xfId="0" applyNumberFormat="1" applyFont="1" applyFill="1" applyBorder="1">
      <alignment vertical="center"/>
    </xf>
    <xf numFmtId="184" fontId="0" fillId="2" borderId="5" xfId="0" applyNumberFormat="1" applyFill="1" applyBorder="1">
      <alignment vertical="center"/>
    </xf>
    <xf numFmtId="184" fontId="0" fillId="2" borderId="8" xfId="0" applyNumberFormat="1" applyFill="1" applyBorder="1">
      <alignment vertical="center"/>
    </xf>
    <xf numFmtId="0" fontId="0" fillId="2" borderId="13" xfId="0" applyFont="1" applyFill="1" applyBorder="1">
      <alignment vertical="center"/>
    </xf>
    <xf numFmtId="0" fontId="0" fillId="2" borderId="14" xfId="0" applyFill="1" applyBorder="1" applyAlignment="1">
      <alignment horizontal="center" vertical="center"/>
    </xf>
    <xf numFmtId="182" fontId="0" fillId="2" borderId="14" xfId="0" applyNumberFormat="1" applyFill="1" applyBorder="1">
      <alignment vertical="center"/>
    </xf>
    <xf numFmtId="182" fontId="0" fillId="2" borderId="15" xfId="0" applyNumberFormat="1" applyFill="1" applyBorder="1">
      <alignment vertical="center"/>
    </xf>
    <xf numFmtId="184" fontId="0" fillId="2" borderId="0" xfId="0" applyNumberFormat="1" applyFill="1">
      <alignment vertical="center"/>
    </xf>
    <xf numFmtId="0" fontId="0" fillId="20" borderId="0" xfId="0" applyFill="1">
      <alignment vertical="center"/>
    </xf>
    <xf numFmtId="0" fontId="49" fillId="21" borderId="0" xfId="0" applyFont="1" applyFill="1" applyAlignment="1">
      <alignment horizontal="center" vertical="center"/>
    </xf>
    <xf numFmtId="0" fontId="22" fillId="21" borderId="1" xfId="0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center" vertical="center"/>
    </xf>
    <xf numFmtId="0" fontId="9" fillId="21" borderId="3" xfId="0" applyFont="1" applyFill="1" applyBorder="1" applyAlignment="1">
      <alignment horizontal="center" vertical="center"/>
    </xf>
    <xf numFmtId="0" fontId="22" fillId="21" borderId="4" xfId="0" applyFon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left" vertical="center"/>
    </xf>
    <xf numFmtId="182" fontId="9" fillId="18" borderId="5" xfId="0" applyNumberFormat="1" applyFont="1" applyFill="1" applyBorder="1">
      <alignment vertical="center"/>
    </xf>
    <xf numFmtId="0" fontId="0" fillId="21" borderId="8" xfId="0" applyFill="1" applyBorder="1">
      <alignment vertical="center"/>
    </xf>
    <xf numFmtId="176" fontId="9" fillId="22" borderId="5" xfId="0" applyNumberFormat="1" applyFont="1" applyFill="1" applyBorder="1">
      <alignment vertical="center"/>
    </xf>
    <xf numFmtId="0" fontId="0" fillId="21" borderId="8" xfId="0" applyFill="1" applyBorder="1" applyAlignment="1">
      <alignment vertical="center" wrapText="1"/>
    </xf>
    <xf numFmtId="9" fontId="9" fillId="22" borderId="5" xfId="0" applyNumberFormat="1" applyFont="1" applyFill="1" applyBorder="1">
      <alignment vertical="center"/>
    </xf>
    <xf numFmtId="0" fontId="25" fillId="21" borderId="5" xfId="0" applyFont="1" applyFill="1" applyBorder="1" applyAlignment="1">
      <alignment horizontal="center" vertical="center" wrapText="1"/>
    </xf>
    <xf numFmtId="0" fontId="25" fillId="21" borderId="5" xfId="0" applyFont="1" applyFill="1" applyBorder="1" applyAlignment="1">
      <alignment horizontal="left" vertical="center"/>
    </xf>
    <xf numFmtId="176" fontId="0" fillId="22" borderId="5" xfId="0" applyNumberFormat="1" applyFill="1" applyBorder="1">
      <alignment vertical="center"/>
    </xf>
    <xf numFmtId="184" fontId="9" fillId="18" borderId="5" xfId="0" applyNumberFormat="1" applyFont="1" applyFill="1" applyBorder="1">
      <alignment vertical="center"/>
    </xf>
    <xf numFmtId="0" fontId="9" fillId="22" borderId="5" xfId="0" applyFont="1" applyFill="1" applyBorder="1" applyAlignment="1">
      <alignment horizontal="right" vertical="center"/>
    </xf>
    <xf numFmtId="0" fontId="0" fillId="22" borderId="5" xfId="0" applyFill="1" applyBorder="1">
      <alignment vertical="center"/>
    </xf>
    <xf numFmtId="0" fontId="22" fillId="21" borderId="6" xfId="0" applyFont="1" applyFill="1" applyBorder="1" applyAlignment="1">
      <alignment horizontal="left" vertical="center"/>
    </xf>
    <xf numFmtId="184" fontId="0" fillId="22" borderId="5" xfId="0" applyNumberFormat="1" applyFill="1" applyBorder="1">
      <alignment vertical="center"/>
    </xf>
    <xf numFmtId="184" fontId="0" fillId="21" borderId="8" xfId="0" applyNumberFormat="1" applyFill="1" applyBorder="1" applyAlignment="1">
      <alignment vertical="center" wrapText="1"/>
    </xf>
    <xf numFmtId="0" fontId="22" fillId="21" borderId="51" xfId="0" applyFont="1" applyFill="1" applyBorder="1" applyAlignment="1">
      <alignment horizontal="center" vertical="center" wrapText="1"/>
    </xf>
    <xf numFmtId="0" fontId="22" fillId="21" borderId="6" xfId="0" applyFont="1" applyFill="1" applyBorder="1" applyAlignment="1">
      <alignment horizontal="center" vertical="center" wrapText="1"/>
    </xf>
    <xf numFmtId="184" fontId="0" fillId="18" borderId="6" xfId="0" applyNumberFormat="1" applyFill="1" applyBorder="1">
      <alignment vertical="center"/>
    </xf>
    <xf numFmtId="184" fontId="0" fillId="22" borderId="6" xfId="0" applyNumberFormat="1" applyFill="1" applyBorder="1">
      <alignment vertical="center"/>
    </xf>
    <xf numFmtId="0" fontId="0" fillId="18" borderId="6" xfId="0" applyFill="1" applyBorder="1">
      <alignment vertical="center"/>
    </xf>
    <xf numFmtId="0" fontId="9" fillId="18" borderId="6" xfId="0" applyFont="1" applyFill="1" applyBorder="1">
      <alignment vertical="center"/>
    </xf>
    <xf numFmtId="0" fontId="0" fillId="21" borderId="7" xfId="0" applyFill="1" applyBorder="1">
      <alignment vertical="center"/>
    </xf>
    <xf numFmtId="0" fontId="22" fillId="22" borderId="5" xfId="0" applyFont="1" applyFill="1" applyBorder="1" applyAlignment="1">
      <alignment horizontal="left" vertical="center"/>
    </xf>
    <xf numFmtId="10" fontId="9" fillId="22" borderId="5" xfId="0" applyNumberFormat="1" applyFont="1" applyFill="1" applyBorder="1">
      <alignment vertical="center"/>
    </xf>
    <xf numFmtId="0" fontId="25" fillId="22" borderId="5" xfId="0" applyFont="1" applyFill="1" applyBorder="1" applyAlignment="1">
      <alignment horizontal="left" vertical="center"/>
    </xf>
    <xf numFmtId="0" fontId="53" fillId="22" borderId="5" xfId="0" applyFont="1" applyFill="1" applyBorder="1" applyAlignment="1">
      <alignment horizontal="right" vertical="center" shrinkToFit="1"/>
    </xf>
    <xf numFmtId="176" fontId="9" fillId="22" borderId="5" xfId="0" applyNumberFormat="1" applyFont="1" applyFill="1" applyBorder="1" applyAlignment="1">
      <alignment horizontal="right" vertical="center"/>
    </xf>
    <xf numFmtId="0" fontId="22" fillId="21" borderId="31" xfId="0" applyFont="1" applyFill="1" applyBorder="1" applyAlignment="1">
      <alignment horizontal="center" vertical="center" wrapText="1"/>
    </xf>
    <xf numFmtId="0" fontId="0" fillId="22" borderId="5" xfId="0" applyFill="1" applyBorder="1" applyAlignment="1">
      <alignment horizontal="right" vertical="center"/>
    </xf>
    <xf numFmtId="0" fontId="22" fillId="21" borderId="32" xfId="0" applyFont="1" applyFill="1" applyBorder="1" applyAlignment="1">
      <alignment horizontal="center" vertical="center" wrapText="1"/>
    </xf>
    <xf numFmtId="0" fontId="0" fillId="21" borderId="52" xfId="0" applyFill="1" applyBorder="1" applyAlignment="1">
      <alignment horizontal="left" vertical="center" wrapText="1"/>
    </xf>
    <xf numFmtId="0" fontId="0" fillId="21" borderId="53" xfId="0" applyFill="1" applyBorder="1" applyAlignment="1">
      <alignment horizontal="left" vertical="center" wrapText="1"/>
    </xf>
    <xf numFmtId="176" fontId="0" fillId="18" borderId="5" xfId="0" applyNumberFormat="1" applyFill="1" applyBorder="1" applyAlignment="1">
      <alignment horizontal="right" vertical="center"/>
    </xf>
    <xf numFmtId="0" fontId="0" fillId="21" borderId="7" xfId="0" applyFill="1" applyBorder="1" applyAlignment="1">
      <alignment horizontal="left" vertical="center" wrapText="1"/>
    </xf>
    <xf numFmtId="0" fontId="25" fillId="21" borderId="31" xfId="0" applyFont="1" applyFill="1" applyBorder="1" applyAlignment="1">
      <alignment horizontal="center" vertical="center" wrapText="1"/>
    </xf>
    <xf numFmtId="0" fontId="25" fillId="21" borderId="6" xfId="0" applyFont="1" applyFill="1" applyBorder="1" applyAlignment="1">
      <alignment horizontal="center" vertical="center" wrapText="1"/>
    </xf>
    <xf numFmtId="176" fontId="0" fillId="22" borderId="5" xfId="0" applyNumberFormat="1" applyFill="1" applyBorder="1" applyAlignment="1">
      <alignment horizontal="right" vertical="center"/>
    </xf>
    <xf numFmtId="10" fontId="0" fillId="22" borderId="5" xfId="0" applyNumberFormat="1" applyFill="1" applyBorder="1">
      <alignment vertical="center"/>
    </xf>
    <xf numFmtId="0" fontId="22" fillId="21" borderId="54" xfId="0" applyFont="1" applyFill="1" applyBorder="1" applyAlignment="1">
      <alignment horizontal="center" vertical="center" wrapText="1"/>
    </xf>
    <xf numFmtId="0" fontId="22" fillId="21" borderId="14" xfId="0" applyFont="1" applyFill="1" applyBorder="1" applyAlignment="1">
      <alignment horizontal="center" vertical="center" wrapText="1"/>
    </xf>
    <xf numFmtId="0" fontId="22" fillId="21" borderId="14" xfId="0" applyFont="1" applyFill="1" applyBorder="1" applyAlignment="1">
      <alignment horizontal="left" vertical="center"/>
    </xf>
    <xf numFmtId="10" fontId="9" fillId="22" borderId="14" xfId="0" applyNumberFormat="1" applyFont="1" applyFill="1" applyBorder="1" applyAlignment="1">
      <alignment horizontal="right" vertical="center"/>
    </xf>
    <xf numFmtId="0" fontId="0" fillId="21" borderId="15" xfId="0" applyFill="1" applyBorder="1" applyAlignment="1">
      <alignment vertical="center" wrapText="1"/>
    </xf>
    <xf numFmtId="0" fontId="22" fillId="21" borderId="55" xfId="0" applyFont="1" applyFill="1" applyBorder="1" applyAlignment="1">
      <alignment horizontal="center" vertical="center" wrapText="1"/>
    </xf>
    <xf numFmtId="182" fontId="9" fillId="22" borderId="5" xfId="0" applyNumberFormat="1" applyFont="1" applyFill="1" applyBorder="1">
      <alignment vertical="center"/>
    </xf>
    <xf numFmtId="0" fontId="0" fillId="21" borderId="7" xfId="0" applyFill="1" applyBorder="1" applyAlignment="1">
      <alignment vertical="center" wrapText="1"/>
    </xf>
    <xf numFmtId="0" fontId="22" fillId="21" borderId="13" xfId="0" applyFont="1" applyFill="1" applyBorder="1" applyAlignment="1">
      <alignment horizontal="center" vertical="center" wrapText="1"/>
    </xf>
    <xf numFmtId="0" fontId="25" fillId="21" borderId="14" xfId="0" applyFont="1" applyFill="1" applyBorder="1" applyAlignment="1">
      <alignment horizontal="center" vertical="center" wrapText="1"/>
    </xf>
    <xf numFmtId="0" fontId="25" fillId="21" borderId="14" xfId="0" applyFont="1" applyFill="1" applyBorder="1" applyAlignment="1">
      <alignment horizontal="left" vertical="center"/>
    </xf>
    <xf numFmtId="0" fontId="0" fillId="22" borderId="14" xfId="0" applyFill="1" applyBorder="1" applyAlignment="1">
      <alignment horizontal="center" vertical="center"/>
    </xf>
    <xf numFmtId="0" fontId="0" fillId="21" borderId="15" xfId="0" applyFill="1" applyBorder="1" applyAlignment="1">
      <alignment horizontal="left" vertical="center" wrapText="1"/>
    </xf>
    <xf numFmtId="0" fontId="22" fillId="23" borderId="51" xfId="0" applyFont="1" applyFill="1" applyBorder="1" applyAlignment="1">
      <alignment vertical="center" wrapText="1"/>
    </xf>
    <xf numFmtId="0" fontId="25" fillId="23" borderId="32" xfId="0" applyFont="1" applyFill="1" applyBorder="1" applyAlignment="1">
      <alignment horizontal="center" vertical="center" wrapText="1"/>
    </xf>
    <xf numFmtId="0" fontId="25" fillId="23" borderId="32" xfId="0" applyFont="1" applyFill="1" applyBorder="1" applyAlignment="1">
      <alignment horizontal="left" vertical="center"/>
    </xf>
    <xf numFmtId="0" fontId="0" fillId="23" borderId="32" xfId="0" applyFill="1" applyBorder="1" applyAlignment="1">
      <alignment horizontal="right" vertical="center"/>
    </xf>
    <xf numFmtId="0" fontId="0" fillId="23" borderId="53" xfId="0" applyFill="1" applyBorder="1" applyAlignment="1">
      <alignment vertical="center" wrapText="1"/>
    </xf>
    <xf numFmtId="0" fontId="25" fillId="20" borderId="34" xfId="0" applyFont="1" applyFill="1" applyBorder="1" applyAlignment="1">
      <alignment horizontal="left" vertical="center"/>
    </xf>
    <xf numFmtId="0" fontId="0" fillId="2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2" fillId="21" borderId="17" xfId="0" applyFont="1" applyFill="1" applyBorder="1" applyAlignment="1">
      <alignment horizontal="center" vertical="center" wrapText="1"/>
    </xf>
    <xf numFmtId="0" fontId="25" fillId="21" borderId="56" xfId="0" applyFont="1" applyFill="1" applyBorder="1" applyAlignment="1">
      <alignment horizontal="left" vertical="center" wrapText="1"/>
    </xf>
    <xf numFmtId="0" fontId="25" fillId="21" borderId="57" xfId="0" applyFont="1" applyFill="1" applyBorder="1" applyAlignment="1">
      <alignment horizontal="left" vertical="center" wrapText="1"/>
    </xf>
    <xf numFmtId="0" fontId="25" fillId="21" borderId="28" xfId="0" applyFont="1" applyFill="1" applyBorder="1" applyAlignment="1">
      <alignment horizontal="left" vertical="center" wrapText="1"/>
    </xf>
    <xf numFmtId="0" fontId="25" fillId="20" borderId="0" xfId="0" applyFont="1" applyFill="1" applyAlignment="1">
      <alignment horizontal="left" vertical="center"/>
    </xf>
    <xf numFmtId="0" fontId="0" fillId="20" borderId="0" xfId="0" applyFill="1" applyAlignment="1">
      <alignment horizontal="center" vertical="center"/>
    </xf>
    <xf numFmtId="0" fontId="0" fillId="21" borderId="0" xfId="0" applyFill="1">
      <alignment vertical="center"/>
    </xf>
    <xf numFmtId="0" fontId="9" fillId="21" borderId="0" xfId="0" applyFont="1" applyFill="1" applyAlignment="1">
      <alignment vertical="center" wrapText="1"/>
    </xf>
    <xf numFmtId="0" fontId="0" fillId="21" borderId="0" xfId="0" applyFill="1" applyAlignment="1">
      <alignment horizontal="left" vertical="center" wrapText="1"/>
    </xf>
    <xf numFmtId="0" fontId="0" fillId="21" borderId="0" xfId="0" applyFill="1" applyAlignment="1">
      <alignment horizontal="left" vertical="center"/>
    </xf>
    <xf numFmtId="0" fontId="22" fillId="21" borderId="1" xfId="0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horizontal="center" vertical="center"/>
    </xf>
    <xf numFmtId="0" fontId="22" fillId="21" borderId="3" xfId="0" applyFont="1" applyFill="1" applyBorder="1" applyAlignment="1">
      <alignment horizontal="center" vertical="center"/>
    </xf>
    <xf numFmtId="0" fontId="22" fillId="21" borderId="4" xfId="0" applyFont="1" applyFill="1" applyBorder="1" applyAlignment="1">
      <alignment horizontal="left" vertical="center"/>
    </xf>
    <xf numFmtId="0" fontId="22" fillId="21" borderId="5" xfId="0" applyFont="1" applyFill="1" applyBorder="1" applyAlignment="1">
      <alignment horizontal="center" vertical="center"/>
    </xf>
    <xf numFmtId="0" fontId="22" fillId="21" borderId="8" xfId="0" applyFont="1" applyFill="1" applyBorder="1">
      <alignment vertical="center"/>
    </xf>
    <xf numFmtId="176" fontId="22" fillId="21" borderId="8" xfId="0" applyNumberFormat="1" applyFont="1" applyFill="1" applyBorder="1" applyAlignment="1">
      <alignment horizontal="right" vertical="center"/>
    </xf>
    <xf numFmtId="0" fontId="25" fillId="21" borderId="4" xfId="0" applyFont="1" applyFill="1" applyBorder="1" applyAlignment="1">
      <alignment horizontal="left" vertical="center"/>
    </xf>
    <xf numFmtId="0" fontId="25" fillId="21" borderId="5" xfId="0" applyFont="1" applyFill="1" applyBorder="1" applyAlignment="1">
      <alignment horizontal="center" vertical="center"/>
    </xf>
    <xf numFmtId="176" fontId="25" fillId="21" borderId="8" xfId="0" applyNumberFormat="1" applyFont="1" applyFill="1" applyBorder="1" applyAlignment="1">
      <alignment horizontal="right" vertical="center"/>
    </xf>
    <xf numFmtId="184" fontId="22" fillId="21" borderId="8" xfId="0" applyNumberFormat="1" applyFont="1" applyFill="1" applyBorder="1" applyAlignment="1">
      <alignment horizontal="right" vertical="center"/>
    </xf>
    <xf numFmtId="0" fontId="22" fillId="21" borderId="8" xfId="0" applyFont="1" applyFill="1" applyBorder="1" applyAlignment="1">
      <alignment horizontal="right" vertical="center"/>
    </xf>
    <xf numFmtId="10" fontId="25" fillId="21" borderId="8" xfId="0" applyNumberFormat="1" applyFont="1" applyFill="1" applyBorder="1" applyAlignment="1">
      <alignment horizontal="right" vertical="center"/>
    </xf>
    <xf numFmtId="0" fontId="22" fillId="21" borderId="13" xfId="0" applyFont="1" applyFill="1" applyBorder="1" applyAlignment="1">
      <alignment horizontal="left" vertical="center"/>
    </xf>
    <xf numFmtId="0" fontId="22" fillId="21" borderId="14" xfId="0" applyFont="1" applyFill="1" applyBorder="1" applyAlignment="1">
      <alignment horizontal="center" vertical="center"/>
    </xf>
    <xf numFmtId="182" fontId="22" fillId="21" borderId="15" xfId="0" applyNumberFormat="1" applyFont="1" applyFill="1" applyBorder="1" applyAlignment="1">
      <alignment horizontal="right" vertical="center"/>
    </xf>
    <xf numFmtId="10" fontId="0" fillId="20" borderId="5" xfId="0" applyNumberFormat="1" applyFill="1" applyBorder="1">
      <alignment vertical="center"/>
    </xf>
    <xf numFmtId="0" fontId="0" fillId="20" borderId="5" xfId="0" applyFill="1" applyBorder="1">
      <alignment vertical="center"/>
    </xf>
    <xf numFmtId="0" fontId="0" fillId="20" borderId="33" xfId="0" applyFill="1" applyBorder="1" applyAlignment="1">
      <alignment horizontal="center" vertical="center"/>
    </xf>
    <xf numFmtId="0" fontId="0" fillId="20" borderId="34" xfId="0" applyFill="1" applyBorder="1" applyAlignment="1">
      <alignment horizontal="center" vertical="center"/>
    </xf>
    <xf numFmtId="176" fontId="0" fillId="20" borderId="5" xfId="0" applyNumberFormat="1" applyFill="1" applyBorder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2 2" xfId="51"/>
    <cellStyle name="常规 3" xfId="52"/>
    <cellStyle name="常规 4" xfId="53"/>
    <cellStyle name="常规 5" xfId="54"/>
    <cellStyle name="千位分隔 4" xfId="55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31115</xdr:colOff>
      <xdr:row>34</xdr:row>
      <xdr:rowOff>92710</xdr:rowOff>
    </xdr:from>
    <xdr:to>
      <xdr:col>7</xdr:col>
      <xdr:colOff>774700</xdr:colOff>
      <xdr:row>47</xdr:row>
      <xdr:rowOff>3810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7295" y="3382010"/>
          <a:ext cx="4293235" cy="2387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-0.499984740745262"/>
  </sheetPr>
  <dimension ref="A1:AB82"/>
  <sheetViews>
    <sheetView workbookViewId="0">
      <selection activeCell="F60" sqref="F60"/>
    </sheetView>
  </sheetViews>
  <sheetFormatPr defaultColWidth="9" defaultRowHeight="15"/>
  <cols>
    <col min="2" max="2" width="12.25" customWidth="1"/>
    <col min="3" max="3" width="6.25" customWidth="1"/>
    <col min="4" max="4" width="34.25" customWidth="1"/>
    <col min="5" max="5" width="36.0833333333333" customWidth="1"/>
    <col min="6" max="6" width="42.25" customWidth="1"/>
    <col min="7" max="7" width="19.25" customWidth="1"/>
  </cols>
  <sheetData>
    <row r="1" ht="30" customHeight="1" spans="1:20">
      <c r="A1" s="419"/>
      <c r="B1" s="420" t="s">
        <v>0</v>
      </c>
      <c r="C1" s="420"/>
      <c r="D1" s="420"/>
      <c r="E1" s="420"/>
      <c r="F1" s="420"/>
      <c r="G1" s="419"/>
      <c r="H1" s="419"/>
      <c r="I1" s="419"/>
      <c r="J1" s="419"/>
      <c r="K1" s="419"/>
      <c r="L1" s="419"/>
      <c r="M1" s="419"/>
      <c r="N1" s="419"/>
      <c r="O1" s="419"/>
      <c r="P1" s="419"/>
      <c r="Q1" s="419"/>
      <c r="R1" s="419"/>
      <c r="S1" s="419"/>
      <c r="T1" s="419"/>
    </row>
    <row r="2" ht="21" customHeight="1" spans="1:20">
      <c r="A2" s="419"/>
      <c r="B2" s="421" t="s">
        <v>1</v>
      </c>
      <c r="C2" s="422" t="s">
        <v>2</v>
      </c>
      <c r="D2" s="422" t="s">
        <v>3</v>
      </c>
      <c r="E2" s="423" t="s">
        <v>4</v>
      </c>
      <c r="F2" s="424" t="s">
        <v>5</v>
      </c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19"/>
    </row>
    <row r="3" ht="18" customHeight="1" spans="1:20">
      <c r="A3" s="419"/>
      <c r="B3" s="425" t="s">
        <v>6</v>
      </c>
      <c r="C3" s="426">
        <v>1</v>
      </c>
      <c r="D3" s="427" t="s">
        <v>7</v>
      </c>
      <c r="E3" s="428">
        <f>静态总投!E57</f>
        <v>15846.2586</v>
      </c>
      <c r="F3" s="42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19"/>
      <c r="T3" s="419"/>
    </row>
    <row r="4" spans="1:20">
      <c r="A4" s="419"/>
      <c r="B4" s="425"/>
      <c r="C4" s="426">
        <v>2</v>
      </c>
      <c r="D4" s="427" t="s">
        <v>8</v>
      </c>
      <c r="E4" s="430">
        <f>E16*E18</f>
        <v>510</v>
      </c>
      <c r="F4" s="431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19"/>
      <c r="T4" s="419"/>
    </row>
    <row r="5" spans="1:20">
      <c r="A5" s="419"/>
      <c r="B5" s="425"/>
      <c r="C5" s="426">
        <v>3</v>
      </c>
      <c r="D5" s="427" t="s">
        <v>9</v>
      </c>
      <c r="E5" s="432">
        <v>0</v>
      </c>
      <c r="F5" s="431"/>
      <c r="G5" s="419"/>
      <c r="H5" s="419"/>
      <c r="I5" s="419"/>
      <c r="J5" s="419"/>
      <c r="K5" s="419"/>
      <c r="L5" s="419"/>
      <c r="M5" s="419"/>
      <c r="N5" s="419"/>
      <c r="O5" s="419"/>
      <c r="P5" s="419"/>
      <c r="Q5" s="419"/>
      <c r="R5" s="419"/>
      <c r="S5" s="419"/>
      <c r="T5" s="419"/>
    </row>
    <row r="6" spans="1:20">
      <c r="A6" s="419"/>
      <c r="B6" s="425"/>
      <c r="C6" s="433">
        <v>4</v>
      </c>
      <c r="D6" s="434" t="s">
        <v>10</v>
      </c>
      <c r="E6" s="435">
        <f>E4*(1-E5)</f>
        <v>510</v>
      </c>
      <c r="F6" s="431"/>
      <c r="G6" s="419"/>
      <c r="H6" s="419"/>
      <c r="I6" s="419"/>
      <c r="J6" s="419"/>
      <c r="K6" s="419"/>
      <c r="L6" s="419"/>
      <c r="M6" s="419"/>
      <c r="N6" s="419"/>
      <c r="O6" s="419"/>
      <c r="P6" s="419"/>
      <c r="Q6" s="419"/>
      <c r="R6" s="419"/>
      <c r="S6" s="419"/>
      <c r="T6" s="419"/>
    </row>
    <row r="7" spans="1:20">
      <c r="A7" s="419"/>
      <c r="B7" s="425"/>
      <c r="C7" s="433"/>
      <c r="D7" s="434" t="s">
        <v>11</v>
      </c>
      <c r="E7" s="435">
        <v>0</v>
      </c>
      <c r="F7" s="431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</row>
    <row r="8" spans="1:20">
      <c r="A8" s="419"/>
      <c r="B8" s="425"/>
      <c r="C8" s="433"/>
      <c r="D8" s="434" t="s">
        <v>12</v>
      </c>
      <c r="E8" s="435">
        <f>E6-E7</f>
        <v>510</v>
      </c>
      <c r="F8" s="431"/>
      <c r="G8" s="419"/>
      <c r="H8" s="419"/>
      <c r="I8" s="419"/>
      <c r="J8" s="419"/>
      <c r="K8" s="419"/>
      <c r="L8" s="419"/>
      <c r="M8" s="419"/>
      <c r="N8" s="419"/>
      <c r="O8" s="419"/>
      <c r="P8" s="419"/>
      <c r="Q8" s="419"/>
      <c r="R8" s="419"/>
      <c r="S8" s="419"/>
      <c r="T8" s="419"/>
    </row>
    <row r="9" spans="1:20">
      <c r="A9" s="419"/>
      <c r="B9" s="425"/>
      <c r="C9" s="426">
        <v>5</v>
      </c>
      <c r="D9" s="427" t="s">
        <v>13</v>
      </c>
      <c r="E9" s="436">
        <v>0.5868</v>
      </c>
      <c r="F9" s="431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/>
      <c r="R9" s="419"/>
      <c r="S9" s="419"/>
      <c r="T9" s="419"/>
    </row>
    <row r="10" spans="1:20">
      <c r="A10" s="419"/>
      <c r="B10" s="425"/>
      <c r="C10" s="426"/>
      <c r="D10" s="427" t="s">
        <v>14</v>
      </c>
      <c r="E10" s="437" t="s">
        <v>15</v>
      </c>
      <c r="F10" s="431"/>
      <c r="G10" s="419"/>
      <c r="H10" s="419"/>
      <c r="I10" s="419"/>
      <c r="J10" s="419"/>
      <c r="K10" s="419"/>
      <c r="L10" s="419"/>
      <c r="M10" s="419"/>
      <c r="N10" s="419"/>
      <c r="O10" s="419"/>
      <c r="P10" s="419"/>
      <c r="Q10" s="419"/>
      <c r="R10" s="419"/>
      <c r="S10" s="419"/>
      <c r="T10" s="419"/>
    </row>
    <row r="11" spans="1:20">
      <c r="A11" s="419"/>
      <c r="B11" s="425"/>
      <c r="C11" s="426"/>
      <c r="D11" s="427" t="s">
        <v>16</v>
      </c>
      <c r="E11" s="437" t="s">
        <v>17</v>
      </c>
      <c r="F11" s="431" t="s">
        <v>18</v>
      </c>
      <c r="G11" s="419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</row>
    <row r="12" ht="30" spans="1:20">
      <c r="A12" s="419"/>
      <c r="B12" s="425"/>
      <c r="C12" s="426"/>
      <c r="D12" s="427" t="s">
        <v>19</v>
      </c>
      <c r="E12" s="438">
        <v>0</v>
      </c>
      <c r="F12" s="431" t="s">
        <v>20</v>
      </c>
      <c r="G12" s="419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</row>
    <row r="13" spans="1:20">
      <c r="A13" s="419"/>
      <c r="B13" s="425"/>
      <c r="C13" s="426"/>
      <c r="D13" s="439" t="s">
        <v>21</v>
      </c>
      <c r="E13" s="440">
        <f>E9-E12</f>
        <v>0.5868</v>
      </c>
      <c r="F13" s="441"/>
      <c r="G13" s="419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</row>
    <row r="14" spans="1:20">
      <c r="A14" s="419"/>
      <c r="B14" s="442"/>
      <c r="C14" s="443"/>
      <c r="D14" s="439" t="s">
        <v>22</v>
      </c>
      <c r="E14" s="444">
        <v>0.2815</v>
      </c>
      <c r="F14" s="441"/>
      <c r="G14" s="419"/>
      <c r="H14" s="419"/>
      <c r="I14" s="419"/>
      <c r="J14" s="419"/>
      <c r="K14" s="419"/>
      <c r="L14" s="419"/>
      <c r="M14" s="419"/>
      <c r="N14" s="419"/>
      <c r="O14" s="419"/>
      <c r="P14" s="419"/>
      <c r="Q14" s="419"/>
      <c r="R14" s="419"/>
      <c r="S14" s="419"/>
      <c r="T14" s="419"/>
    </row>
    <row r="15" spans="1:20">
      <c r="A15" s="419"/>
      <c r="B15" s="442"/>
      <c r="C15" s="443"/>
      <c r="D15" s="439" t="s">
        <v>23</v>
      </c>
      <c r="E15" s="445">
        <f>E13-E14</f>
        <v>0.3053</v>
      </c>
      <c r="F15" s="441"/>
      <c r="G15" s="419"/>
      <c r="H15" s="419"/>
      <c r="I15" s="419"/>
      <c r="J15" s="419"/>
      <c r="K15" s="419"/>
      <c r="L15" s="419"/>
      <c r="M15" s="419"/>
      <c r="N15" s="419"/>
      <c r="O15" s="419"/>
      <c r="P15" s="419"/>
      <c r="Q15" s="419"/>
      <c r="R15" s="419"/>
      <c r="S15" s="419"/>
      <c r="T15" s="419"/>
    </row>
    <row r="16" spans="1:20">
      <c r="A16" s="419"/>
      <c r="B16" s="442"/>
      <c r="C16" s="443"/>
      <c r="D16" s="439" t="s">
        <v>24</v>
      </c>
      <c r="E16" s="446">
        <v>255</v>
      </c>
      <c r="F16" s="431"/>
      <c r="G16" s="419"/>
      <c r="H16" s="419"/>
      <c r="I16" s="419"/>
      <c r="J16" s="419"/>
      <c r="K16" s="419"/>
      <c r="L16" s="419"/>
      <c r="M16" s="419"/>
      <c r="N16" s="419"/>
      <c r="O16" s="419"/>
      <c r="P16" s="419"/>
      <c r="Q16" s="419"/>
      <c r="R16" s="419"/>
      <c r="S16" s="419"/>
      <c r="T16" s="419"/>
    </row>
    <row r="17" spans="1:20">
      <c r="A17" s="419"/>
      <c r="B17" s="442" t="s">
        <v>25</v>
      </c>
      <c r="C17" s="443">
        <v>6</v>
      </c>
      <c r="D17" s="439" t="s">
        <v>26</v>
      </c>
      <c r="E17" s="447">
        <v>10</v>
      </c>
      <c r="F17" s="429"/>
      <c r="G17" s="419"/>
      <c r="H17" s="419"/>
      <c r="I17" s="419"/>
      <c r="J17" s="419"/>
      <c r="K17" s="419"/>
      <c r="L17" s="419"/>
      <c r="M17" s="419"/>
      <c r="N17" s="419"/>
      <c r="O17" s="419"/>
      <c r="P17" s="419"/>
      <c r="Q17" s="419"/>
      <c r="R17" s="419"/>
      <c r="S17" s="419"/>
      <c r="T17" s="419"/>
    </row>
    <row r="18" spans="1:20">
      <c r="A18" s="419"/>
      <c r="B18" s="442"/>
      <c r="C18" s="443"/>
      <c r="D18" s="439" t="s">
        <v>27</v>
      </c>
      <c r="E18" s="447">
        <v>2</v>
      </c>
      <c r="F18" s="448"/>
      <c r="G18" s="419"/>
      <c r="H18" s="419"/>
      <c r="I18" s="419"/>
      <c r="J18" s="419"/>
      <c r="K18" s="419"/>
      <c r="L18" s="419"/>
      <c r="M18" s="419"/>
      <c r="N18" s="419"/>
      <c r="O18" s="419"/>
      <c r="P18" s="419"/>
      <c r="Q18" s="419"/>
      <c r="R18" s="419"/>
      <c r="S18" s="419"/>
      <c r="T18" s="419"/>
    </row>
    <row r="19" spans="1:20">
      <c r="A19" s="419"/>
      <c r="B19" s="442"/>
      <c r="C19" s="426">
        <v>7</v>
      </c>
      <c r="D19" s="449" t="s">
        <v>28</v>
      </c>
      <c r="E19" s="437" t="s">
        <v>29</v>
      </c>
      <c r="F19" s="431" t="s">
        <v>30</v>
      </c>
      <c r="G19" s="419"/>
      <c r="H19" s="419"/>
      <c r="I19" s="419"/>
      <c r="J19" s="419"/>
      <c r="K19" s="419"/>
      <c r="L19" s="419"/>
      <c r="M19" s="419"/>
      <c r="N19" s="419"/>
      <c r="O19" s="419"/>
      <c r="P19" s="419"/>
      <c r="Q19" s="419"/>
      <c r="R19" s="419"/>
      <c r="S19" s="419"/>
      <c r="T19" s="419"/>
    </row>
    <row r="20" spans="1:20">
      <c r="A20" s="419"/>
      <c r="B20" s="442"/>
      <c r="C20" s="426">
        <v>8</v>
      </c>
      <c r="D20" s="449" t="s">
        <v>31</v>
      </c>
      <c r="E20" s="450">
        <f>3%</f>
        <v>0.03</v>
      </c>
      <c r="F20" s="431"/>
      <c r="G20" s="419"/>
      <c r="H20" s="419"/>
      <c r="I20" s="419"/>
      <c r="J20" s="419"/>
      <c r="K20" s="419"/>
      <c r="L20" s="419"/>
      <c r="M20" s="419"/>
      <c r="N20" s="419"/>
      <c r="O20" s="419"/>
      <c r="P20" s="419"/>
      <c r="Q20" s="419"/>
      <c r="R20" s="419"/>
      <c r="S20" s="419"/>
      <c r="T20" s="419"/>
    </row>
    <row r="21" spans="1:20">
      <c r="A21" s="419"/>
      <c r="B21" s="442"/>
      <c r="C21" s="426">
        <v>9</v>
      </c>
      <c r="D21" s="449" t="s">
        <v>32</v>
      </c>
      <c r="E21" s="437"/>
      <c r="F21" s="431"/>
      <c r="G21" s="419"/>
      <c r="H21" s="419"/>
      <c r="I21" s="419"/>
      <c r="J21" s="419"/>
      <c r="K21" s="419"/>
      <c r="L21" s="419"/>
      <c r="M21" s="419"/>
      <c r="N21" s="419"/>
      <c r="O21" s="419"/>
      <c r="P21" s="419"/>
      <c r="Q21" s="419"/>
      <c r="R21" s="419"/>
      <c r="S21" s="419"/>
      <c r="T21" s="419"/>
    </row>
    <row r="22" ht="30" spans="1:20">
      <c r="A22" s="419"/>
      <c r="B22" s="442"/>
      <c r="C22" s="433">
        <v>10</v>
      </c>
      <c r="D22" s="451" t="s">
        <v>33</v>
      </c>
      <c r="E22" s="452">
        <f>'表1-投资计划与资金筹措表'!D6*0.09</f>
        <v>1443.277233288</v>
      </c>
      <c r="F22" s="431" t="s">
        <v>34</v>
      </c>
      <c r="G22" s="419"/>
      <c r="H22" s="419"/>
      <c r="I22" s="419"/>
      <c r="J22" s="419"/>
      <c r="K22" s="419"/>
      <c r="L22" s="419"/>
      <c r="M22" s="419"/>
      <c r="N22" s="419"/>
      <c r="O22" s="419"/>
      <c r="P22" s="419"/>
      <c r="Q22" s="419"/>
      <c r="R22" s="419"/>
      <c r="S22" s="419"/>
      <c r="T22" s="419"/>
    </row>
    <row r="23" ht="30" spans="1:20">
      <c r="A23" s="419"/>
      <c r="B23" s="442"/>
      <c r="C23" s="426">
        <v>11</v>
      </c>
      <c r="D23" s="427" t="s">
        <v>35</v>
      </c>
      <c r="E23" s="453" t="s">
        <v>36</v>
      </c>
      <c r="F23" s="431" t="s">
        <v>37</v>
      </c>
      <c r="G23" s="419"/>
      <c r="H23" s="419"/>
      <c r="I23" s="419"/>
      <c r="J23" s="419"/>
      <c r="K23" s="419"/>
      <c r="L23" s="419"/>
      <c r="M23" s="419"/>
      <c r="N23" s="419"/>
      <c r="O23" s="419"/>
      <c r="P23" s="419"/>
      <c r="Q23" s="419"/>
      <c r="R23" s="419"/>
      <c r="S23" s="419"/>
      <c r="T23" s="419"/>
    </row>
    <row r="24" spans="1:20">
      <c r="A24" s="419"/>
      <c r="B24" s="442"/>
      <c r="C24" s="454">
        <v>12</v>
      </c>
      <c r="D24" s="434" t="s">
        <v>38</v>
      </c>
      <c r="E24" s="455" t="s">
        <v>39</v>
      </c>
      <c r="F24" s="431"/>
      <c r="G24" s="419"/>
      <c r="H24" s="419"/>
      <c r="I24" s="419"/>
      <c r="J24" s="419"/>
      <c r="K24" s="419"/>
      <c r="L24" s="419"/>
      <c r="M24" s="419"/>
      <c r="N24" s="419"/>
      <c r="O24" s="419"/>
      <c r="P24" s="419"/>
      <c r="Q24" s="419"/>
      <c r="R24" s="419"/>
      <c r="S24" s="419"/>
      <c r="T24" s="419"/>
    </row>
    <row r="25" spans="1:20">
      <c r="A25" s="419"/>
      <c r="B25" s="442"/>
      <c r="C25" s="456"/>
      <c r="D25" s="434" t="s">
        <v>40</v>
      </c>
      <c r="E25" s="455" t="s">
        <v>41</v>
      </c>
      <c r="F25" s="431"/>
      <c r="G25" s="419"/>
      <c r="H25" s="419"/>
      <c r="I25" s="419"/>
      <c r="J25" s="419"/>
      <c r="K25" s="419"/>
      <c r="L25" s="419"/>
      <c r="M25" s="419"/>
      <c r="N25" s="419"/>
      <c r="O25" s="419"/>
      <c r="P25" s="419"/>
      <c r="Q25" s="419"/>
      <c r="R25" s="419"/>
      <c r="S25" s="419"/>
      <c r="T25" s="419"/>
    </row>
    <row r="26" ht="30" spans="1:20">
      <c r="A26" s="419"/>
      <c r="B26" s="442"/>
      <c r="C26" s="443"/>
      <c r="D26" s="427" t="s">
        <v>42</v>
      </c>
      <c r="E26" s="437" t="s">
        <v>43</v>
      </c>
      <c r="F26" s="431" t="s">
        <v>44</v>
      </c>
      <c r="G26" s="419"/>
      <c r="H26" s="419"/>
      <c r="I26" s="419"/>
      <c r="J26" s="419"/>
      <c r="K26" s="419"/>
      <c r="L26" s="419"/>
      <c r="M26" s="419"/>
      <c r="N26" s="419"/>
      <c r="O26" s="419"/>
      <c r="P26" s="419"/>
      <c r="Q26" s="419"/>
      <c r="R26" s="419"/>
      <c r="S26" s="419"/>
      <c r="T26" s="419"/>
    </row>
    <row r="27" spans="1:20">
      <c r="A27" s="419"/>
      <c r="B27" s="442"/>
      <c r="C27" s="454">
        <v>13</v>
      </c>
      <c r="D27" s="427" t="s">
        <v>45</v>
      </c>
      <c r="E27" s="437" t="s">
        <v>46</v>
      </c>
      <c r="F27" s="457" t="s">
        <v>47</v>
      </c>
      <c r="G27" s="419"/>
      <c r="H27" s="419"/>
      <c r="I27" s="419"/>
      <c r="J27" s="419"/>
      <c r="K27" s="419"/>
      <c r="L27" s="419"/>
      <c r="M27" s="419"/>
      <c r="N27" s="419"/>
      <c r="O27" s="419"/>
      <c r="P27" s="419"/>
      <c r="Q27" s="419"/>
      <c r="R27" s="419"/>
      <c r="S27" s="419"/>
      <c r="T27" s="419"/>
    </row>
    <row r="28" spans="1:20">
      <c r="A28" s="419"/>
      <c r="B28" s="442"/>
      <c r="C28" s="456"/>
      <c r="D28" s="427" t="s">
        <v>48</v>
      </c>
      <c r="E28" s="430">
        <v>0</v>
      </c>
      <c r="F28" s="458"/>
      <c r="G28" s="419"/>
      <c r="H28" s="419"/>
      <c r="I28" s="419"/>
      <c r="J28" s="419"/>
      <c r="K28" s="419"/>
      <c r="L28" s="419"/>
      <c r="M28" s="419"/>
      <c r="N28" s="419"/>
      <c r="O28" s="419"/>
      <c r="P28" s="419"/>
      <c r="Q28" s="419"/>
      <c r="R28" s="419"/>
      <c r="S28" s="419"/>
      <c r="T28" s="419"/>
    </row>
    <row r="29" spans="1:20">
      <c r="A29" s="419"/>
      <c r="B29" s="442"/>
      <c r="C29" s="443"/>
      <c r="D29" s="434" t="s">
        <v>49</v>
      </c>
      <c r="E29" s="459">
        <v>4</v>
      </c>
      <c r="F29" s="460"/>
      <c r="G29" s="419"/>
      <c r="H29" s="419"/>
      <c r="I29" s="419"/>
      <c r="J29" s="419"/>
      <c r="K29" s="419"/>
      <c r="L29" s="419"/>
      <c r="M29" s="419"/>
      <c r="N29" s="419"/>
      <c r="O29" s="419"/>
      <c r="P29" s="419"/>
      <c r="Q29" s="419"/>
      <c r="R29" s="419"/>
      <c r="S29" s="419"/>
      <c r="T29" s="419"/>
    </row>
    <row r="30" spans="1:20">
      <c r="A30" s="419"/>
      <c r="B30" s="442"/>
      <c r="C30" s="433">
        <v>14</v>
      </c>
      <c r="D30" s="434" t="s">
        <v>50</v>
      </c>
      <c r="E30" s="459">
        <v>33</v>
      </c>
      <c r="F30" s="429"/>
      <c r="G30" s="419"/>
      <c r="H30" s="419"/>
      <c r="I30" s="419"/>
      <c r="J30" s="419"/>
      <c r="K30" s="419"/>
      <c r="L30" s="419"/>
      <c r="M30" s="419"/>
      <c r="N30" s="419"/>
      <c r="O30" s="419"/>
      <c r="P30" s="419"/>
      <c r="Q30" s="419"/>
      <c r="R30" s="419"/>
      <c r="S30" s="419"/>
      <c r="T30" s="419"/>
    </row>
    <row r="31" spans="1:20">
      <c r="A31" s="419"/>
      <c r="B31" s="442"/>
      <c r="C31" s="461">
        <v>15</v>
      </c>
      <c r="D31" s="427" t="s">
        <v>51</v>
      </c>
      <c r="E31" s="453">
        <v>0</v>
      </c>
      <c r="F31" s="42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</row>
    <row r="32" spans="1:20">
      <c r="A32" s="419"/>
      <c r="B32" s="442"/>
      <c r="C32" s="462"/>
      <c r="D32" s="434" t="s">
        <v>52</v>
      </c>
      <c r="E32" s="463">
        <v>0</v>
      </c>
      <c r="F32" s="429"/>
      <c r="G32" s="419"/>
      <c r="H32" s="419"/>
      <c r="I32" s="419"/>
      <c r="J32" s="419"/>
      <c r="K32" s="419"/>
      <c r="L32" s="419"/>
      <c r="M32" s="419"/>
      <c r="N32" s="419"/>
      <c r="O32" s="419"/>
      <c r="P32" s="419"/>
      <c r="Q32" s="419"/>
      <c r="R32" s="419"/>
      <c r="S32" s="419"/>
      <c r="T32" s="419"/>
    </row>
    <row r="33" spans="1:28">
      <c r="A33" s="419"/>
      <c r="B33" s="442"/>
      <c r="C33" s="433">
        <v>16</v>
      </c>
      <c r="D33" s="434" t="s">
        <v>53</v>
      </c>
      <c r="E33" s="464">
        <v>0.0015</v>
      </c>
      <c r="F33" s="429"/>
      <c r="G33" s="419"/>
      <c r="H33" s="419"/>
      <c r="I33" s="419"/>
      <c r="J33" s="419"/>
      <c r="K33" s="419"/>
      <c r="L33" s="419"/>
      <c r="M33" s="419"/>
      <c r="N33" s="419"/>
      <c r="O33" s="419"/>
      <c r="P33" s="419"/>
      <c r="Q33" s="419"/>
      <c r="R33" s="419"/>
      <c r="S33" s="419"/>
      <c r="T33" s="419"/>
    </row>
    <row r="34" spans="1:28">
      <c r="A34" s="419"/>
      <c r="B34" s="442"/>
      <c r="C34" s="433">
        <v>17</v>
      </c>
      <c r="D34" s="451" t="s">
        <v>54</v>
      </c>
      <c r="E34" s="464">
        <v>0.12</v>
      </c>
      <c r="F34" s="429" t="s">
        <v>55</v>
      </c>
      <c r="G34" s="419"/>
      <c r="H34" s="419"/>
      <c r="I34" s="419"/>
      <c r="J34" s="419"/>
      <c r="K34" s="419"/>
      <c r="L34" s="419"/>
      <c r="M34" s="419"/>
      <c r="N34" s="419"/>
      <c r="O34" s="419"/>
      <c r="P34" s="419"/>
      <c r="Q34" s="419"/>
      <c r="R34" s="419"/>
      <c r="S34" s="419"/>
      <c r="T34" s="419"/>
    </row>
    <row r="35" ht="15.75" spans="1:28">
      <c r="A35" s="419"/>
      <c r="B35" s="465"/>
      <c r="C35" s="466">
        <v>18</v>
      </c>
      <c r="D35" s="467" t="s">
        <v>56</v>
      </c>
      <c r="E35" s="468" t="s">
        <v>57</v>
      </c>
      <c r="F35" s="469"/>
      <c r="G35" s="419"/>
      <c r="H35" s="419"/>
      <c r="I35" s="419"/>
      <c r="J35" s="419"/>
      <c r="K35" s="419"/>
      <c r="L35" s="419"/>
      <c r="M35" s="419"/>
      <c r="N35" s="419"/>
      <c r="O35" s="419"/>
      <c r="P35" s="419"/>
      <c r="Q35" s="419"/>
      <c r="R35" s="419"/>
      <c r="S35" s="419"/>
      <c r="T35" s="419"/>
    </row>
    <row r="36" ht="30" spans="1:28">
      <c r="A36" s="419"/>
      <c r="B36" s="470" t="s">
        <v>58</v>
      </c>
      <c r="C36" s="443">
        <v>19</v>
      </c>
      <c r="D36" s="439" t="s">
        <v>59</v>
      </c>
      <c r="E36" s="471">
        <f>(5+(静态总投!E7+静态总投!E8)*1.2%*70%)*30*666.667/10000</f>
        <v>35.2000176</v>
      </c>
      <c r="F36" s="472" t="s">
        <v>60</v>
      </c>
      <c r="G36" s="419"/>
      <c r="H36" s="419"/>
      <c r="I36" s="419"/>
      <c r="J36" s="419"/>
      <c r="K36" s="419"/>
      <c r="L36" s="419"/>
      <c r="M36" s="419"/>
      <c r="N36" s="419"/>
      <c r="O36" s="419"/>
      <c r="P36" s="419"/>
      <c r="Q36" s="419"/>
      <c r="R36" s="419"/>
      <c r="S36" s="419"/>
      <c r="T36" s="419"/>
    </row>
    <row r="37" ht="30.75" spans="1:28">
      <c r="A37" s="419"/>
      <c r="B37" s="473"/>
      <c r="C37" s="474">
        <v>20</v>
      </c>
      <c r="D37" s="475" t="s">
        <v>61</v>
      </c>
      <c r="E37" s="476" t="s">
        <v>62</v>
      </c>
      <c r="F37" s="477" t="s">
        <v>63</v>
      </c>
      <c r="G37" s="419"/>
      <c r="H37" s="419"/>
      <c r="I37" s="419"/>
      <c r="J37" s="419"/>
      <c r="K37" s="419"/>
      <c r="L37" s="419"/>
      <c r="M37" s="419"/>
      <c r="N37" s="419"/>
      <c r="O37" s="419"/>
      <c r="P37" s="419"/>
      <c r="Q37" s="419"/>
      <c r="R37" s="419"/>
      <c r="S37" s="419"/>
      <c r="T37" s="419"/>
    </row>
    <row r="38" ht="15.75" hidden="1" spans="1:28">
      <c r="A38" s="419"/>
      <c r="B38" s="478"/>
      <c r="C38" s="479"/>
      <c r="D38" s="480" t="s">
        <v>64</v>
      </c>
      <c r="E38" s="481" t="s">
        <v>65</v>
      </c>
      <c r="F38" s="482" t="s">
        <v>66</v>
      </c>
      <c r="G38" s="483"/>
      <c r="H38" s="484" t="s">
        <v>62</v>
      </c>
      <c r="I38" s="484" t="s">
        <v>62</v>
      </c>
      <c r="J38" s="484" t="s">
        <v>62</v>
      </c>
      <c r="K38" s="484" t="s">
        <v>62</v>
      </c>
      <c r="L38" s="484" t="s">
        <v>62</v>
      </c>
      <c r="M38" s="484" t="s">
        <v>62</v>
      </c>
      <c r="N38" s="484" t="s">
        <v>62</v>
      </c>
      <c r="O38" s="484" t="s">
        <v>62</v>
      </c>
      <c r="P38" s="484" t="s">
        <v>62</v>
      </c>
      <c r="Q38" s="484" t="s">
        <v>62</v>
      </c>
      <c r="R38" s="484" t="s">
        <v>62</v>
      </c>
      <c r="S38" s="484" t="s">
        <v>62</v>
      </c>
      <c r="T38" s="484" t="s">
        <v>62</v>
      </c>
      <c r="U38" s="485" t="s">
        <v>62</v>
      </c>
      <c r="V38" s="485" t="s">
        <v>62</v>
      </c>
      <c r="W38" s="485" t="s">
        <v>62</v>
      </c>
      <c r="X38" s="485" t="s">
        <v>62</v>
      </c>
      <c r="Y38" s="485" t="s">
        <v>62</v>
      </c>
      <c r="Z38" s="485" t="s">
        <v>62</v>
      </c>
      <c r="AA38" s="485" t="s">
        <v>62</v>
      </c>
      <c r="AB38" s="485" t="s">
        <v>62</v>
      </c>
    </row>
    <row r="39" ht="33" customHeight="1" spans="1:28">
      <c r="A39" s="419"/>
      <c r="B39" s="486" t="s">
        <v>67</v>
      </c>
      <c r="C39" s="487" t="str">
        <f>财务指标及评价!B21</f>
        <v>项目运营期12年年均营业收入3175万元，年均利润总额230万元，年均净利润211万元，全投资财务内部收益率6.38%，资本金财务内部收益率17.97%，投资回收期9.2年。综上，项目收益情况较好，满足优先投资收益率标准。</v>
      </c>
      <c r="D39" s="488"/>
      <c r="E39" s="488"/>
      <c r="F39" s="489"/>
      <c r="G39" s="490"/>
      <c r="H39" s="491"/>
      <c r="I39" s="491"/>
      <c r="J39" s="491"/>
      <c r="K39" s="491"/>
      <c r="L39" s="491"/>
      <c r="M39" s="491"/>
      <c r="N39" s="491"/>
      <c r="O39" s="491"/>
      <c r="P39" s="491"/>
      <c r="Q39" s="491"/>
      <c r="R39" s="491"/>
      <c r="S39" s="491"/>
      <c r="T39" s="491"/>
      <c r="U39" s="229"/>
      <c r="V39" s="229"/>
      <c r="W39" s="229"/>
      <c r="X39" s="229"/>
      <c r="Y39" s="229"/>
      <c r="Z39" s="229"/>
      <c r="AA39" s="229"/>
      <c r="AB39" s="229"/>
    </row>
    <row r="40" spans="1:28">
      <c r="A40" s="419"/>
      <c r="B40" s="492"/>
      <c r="C40" s="492"/>
      <c r="D40" s="492"/>
      <c r="E40" s="492"/>
      <c r="F40" s="492"/>
      <c r="G40" s="419"/>
      <c r="H40" s="419"/>
      <c r="I40" s="419"/>
      <c r="J40" s="419"/>
      <c r="K40" s="419"/>
      <c r="L40" s="419"/>
      <c r="M40" s="419"/>
      <c r="N40" s="419"/>
      <c r="O40" s="419"/>
      <c r="P40" s="419"/>
      <c r="Q40" s="419"/>
      <c r="R40" s="419"/>
      <c r="S40" s="419"/>
      <c r="T40" s="419"/>
    </row>
    <row r="41" ht="63.4" customHeight="1" spans="1:28">
      <c r="A41" s="419"/>
      <c r="B41" s="493" t="s">
        <v>68</v>
      </c>
      <c r="C41" s="494" t="s">
        <v>69</v>
      </c>
      <c r="D41" s="495"/>
      <c r="E41" s="495"/>
      <c r="F41" s="495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</row>
    <row r="42" ht="42.4" customHeight="1" spans="1:28">
      <c r="A42" s="419"/>
      <c r="B42" s="420" t="str">
        <f>财务指标及评价!B1</f>
        <v>  财务指标汇总表</v>
      </c>
      <c r="C42" s="420"/>
      <c r="D42" s="420"/>
      <c r="E42" s="420"/>
      <c r="F42" s="420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</row>
    <row r="43" ht="22.15" customHeight="1" spans="1:28">
      <c r="A43" s="419"/>
      <c r="B43" s="496" t="str">
        <f>财务指标及评价!B2</f>
        <v>序号</v>
      </c>
      <c r="C43" s="497"/>
      <c r="D43" s="497" t="str">
        <f>财务指标及评价!C2</f>
        <v>指标名称</v>
      </c>
      <c r="E43" s="497" t="str">
        <f>财务指标及评价!D2</f>
        <v>单位</v>
      </c>
      <c r="F43" s="498" t="str">
        <f>财务指标及评价!E2</f>
        <v>指标</v>
      </c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</row>
    <row r="44" ht="22.15" customHeight="1" spans="1:28">
      <c r="A44" s="419"/>
      <c r="B44" s="499">
        <f>财务指标及评价!B3</f>
        <v>1</v>
      </c>
      <c r="C44" s="427"/>
      <c r="D44" s="500" t="str">
        <f>财务指标及评价!C3</f>
        <v>装机容量</v>
      </c>
      <c r="E44" s="500" t="str">
        <f>财务指标及评价!D3</f>
        <v>万千瓦</v>
      </c>
      <c r="F44" s="501">
        <f>财务指标及评价!E3</f>
        <v>10</v>
      </c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</row>
    <row r="45" ht="22.15" customHeight="1" spans="1:28">
      <c r="A45" s="419"/>
      <c r="B45" s="499">
        <f>财务指标及评价!B4</f>
        <v>2</v>
      </c>
      <c r="C45" s="427"/>
      <c r="D45" s="500" t="str">
        <f>财务指标及评价!C4</f>
        <v>年上网电量</v>
      </c>
      <c r="E45" s="500" t="str">
        <f>财务指标及评价!D4</f>
        <v>万千瓦时</v>
      </c>
      <c r="F45" s="502">
        <f>财务指标及评价!E4</f>
        <v>3717.20490437158</v>
      </c>
      <c r="G45" s="419"/>
      <c r="H45" s="419"/>
      <c r="I45" s="419"/>
      <c r="J45" s="419"/>
      <c r="K45" s="419"/>
      <c r="L45" s="419"/>
      <c r="M45" s="419"/>
      <c r="N45" s="419"/>
      <c r="O45" s="419"/>
      <c r="P45" s="419"/>
      <c r="Q45" s="419"/>
      <c r="R45" s="419"/>
      <c r="S45" s="419"/>
      <c r="T45" s="419"/>
    </row>
    <row r="46" ht="22.15" customHeight="1" spans="1:28">
      <c r="A46" s="419"/>
      <c r="B46" s="503">
        <f>财务指标及评价!B5</f>
        <v>2.1</v>
      </c>
      <c r="C46" s="434"/>
      <c r="D46" s="504" t="str">
        <f>财务指标及评价!C5</f>
        <v>年利用小时数</v>
      </c>
      <c r="E46" s="504" t="str">
        <f>财务指标及评价!D5</f>
        <v>小时</v>
      </c>
      <c r="F46" s="505">
        <f>财务指标及评价!E5</f>
        <v>371.720490437158</v>
      </c>
      <c r="G46" s="419"/>
      <c r="H46" s="419"/>
      <c r="I46" s="419"/>
      <c r="J46" s="419"/>
      <c r="K46" s="419"/>
      <c r="L46" s="419"/>
      <c r="M46" s="419"/>
      <c r="N46" s="419"/>
      <c r="O46" s="419"/>
      <c r="P46" s="419"/>
      <c r="Q46" s="419"/>
      <c r="R46" s="419"/>
      <c r="S46" s="419"/>
      <c r="T46" s="419"/>
    </row>
    <row r="47" ht="22.15" customHeight="1" spans="1:28">
      <c r="A47" s="419"/>
      <c r="B47" s="499">
        <f>财务指标及评价!B6</f>
        <v>3</v>
      </c>
      <c r="C47" s="427"/>
      <c r="D47" s="500" t="str">
        <f>财务指标及评价!C6</f>
        <v>总投资</v>
      </c>
      <c r="E47" s="500" t="str">
        <f>财务指标及评价!D6</f>
        <v>万元</v>
      </c>
      <c r="F47" s="502">
        <f>财务指标及评价!E6</f>
        <v>16036.4137032</v>
      </c>
      <c r="G47" s="419"/>
      <c r="H47" s="419"/>
      <c r="I47" s="419"/>
      <c r="J47" s="419"/>
      <c r="K47" s="419"/>
      <c r="L47" s="419"/>
      <c r="M47" s="419"/>
      <c r="N47" s="419"/>
      <c r="O47" s="419"/>
      <c r="P47" s="419"/>
      <c r="Q47" s="419"/>
      <c r="R47" s="419"/>
      <c r="S47" s="419"/>
      <c r="T47" s="419"/>
    </row>
    <row r="48" ht="22.15" customHeight="1" spans="1:28">
      <c r="A48" s="419"/>
      <c r="B48" s="503">
        <f>财务指标及评价!B7</f>
        <v>3.1</v>
      </c>
      <c r="C48" s="434"/>
      <c r="D48" s="504" t="str">
        <f>财务指标及评价!C7</f>
        <v>固定资产</v>
      </c>
      <c r="E48" s="504" t="str">
        <f>财务指标及评价!D7</f>
        <v>万元</v>
      </c>
      <c r="F48" s="505">
        <f>财务指标及评价!E7</f>
        <v>14593.136469912</v>
      </c>
      <c r="G48" s="419"/>
      <c r="H48" s="419"/>
      <c r="I48" s="419"/>
      <c r="J48" s="419"/>
      <c r="K48" s="419"/>
      <c r="L48" s="419"/>
      <c r="M48" s="419"/>
      <c r="N48" s="419"/>
      <c r="O48" s="419"/>
      <c r="P48" s="419"/>
      <c r="Q48" s="419"/>
      <c r="R48" s="419"/>
      <c r="S48" s="419"/>
      <c r="T48" s="419"/>
    </row>
    <row r="49" ht="22.15" customHeight="1" spans="1:20">
      <c r="A49" s="419"/>
      <c r="B49" s="503">
        <f>财务指标及评价!B8</f>
        <v>3.2</v>
      </c>
      <c r="C49" s="434"/>
      <c r="D49" s="504" t="str">
        <f>财务指标及评价!C8</f>
        <v>建设期利息</v>
      </c>
      <c r="E49" s="504" t="str">
        <f>财务指标及评价!D8</f>
        <v>万元</v>
      </c>
      <c r="F49" s="505">
        <f>财务指标及评价!E8</f>
        <v>190.1551032</v>
      </c>
      <c r="G49" s="419"/>
      <c r="H49" s="419"/>
      <c r="I49" s="419"/>
      <c r="J49" s="419"/>
      <c r="K49" s="419"/>
      <c r="L49" s="419"/>
      <c r="M49" s="419"/>
      <c r="N49" s="419"/>
      <c r="O49" s="419"/>
      <c r="P49" s="419"/>
      <c r="Q49" s="419"/>
      <c r="R49" s="419"/>
      <c r="S49" s="419"/>
      <c r="T49" s="419"/>
    </row>
    <row r="50" ht="22.15" customHeight="1" spans="1:20">
      <c r="A50" s="419"/>
      <c r="B50" s="499">
        <f>财务指标及评价!B9</f>
        <v>4</v>
      </c>
      <c r="C50" s="427"/>
      <c r="D50" s="500" t="str">
        <f>财务指标及评价!C9</f>
        <v>上网电价（含增值税）</v>
      </c>
      <c r="E50" s="500" t="str">
        <f>财务指标及评价!D9</f>
        <v>元/千瓦时</v>
      </c>
      <c r="F50" s="506">
        <f>财务指标及评价!E9</f>
        <v>0.5868</v>
      </c>
      <c r="G50" s="419"/>
      <c r="H50" s="419"/>
      <c r="I50" s="419"/>
      <c r="J50" s="419"/>
      <c r="K50" s="419"/>
      <c r="L50" s="419"/>
      <c r="M50" s="419"/>
      <c r="N50" s="419"/>
      <c r="O50" s="419"/>
      <c r="P50" s="419"/>
      <c r="Q50" s="419"/>
      <c r="R50" s="419"/>
      <c r="S50" s="419"/>
      <c r="T50" s="419"/>
    </row>
    <row r="51" ht="22.15" customHeight="1" spans="1:20">
      <c r="A51" s="419"/>
      <c r="B51" s="499">
        <f>财务指标及评价!B10</f>
        <v>5</v>
      </c>
      <c r="C51" s="427"/>
      <c r="D51" s="500" t="str">
        <f>财务指标及评价!C10</f>
        <v>发电营业收入总额</v>
      </c>
      <c r="E51" s="500" t="str">
        <f>财务指标及评价!D10</f>
        <v>万元</v>
      </c>
      <c r="F51" s="502">
        <f>财务指标及评价!E10</f>
        <v>38101.831906746</v>
      </c>
      <c r="G51" s="419"/>
      <c r="H51" s="419"/>
      <c r="I51" s="419"/>
      <c r="J51" s="419"/>
      <c r="K51" s="419"/>
      <c r="L51" s="419"/>
      <c r="M51" s="419"/>
      <c r="N51" s="419"/>
      <c r="O51" s="419"/>
      <c r="P51" s="419"/>
      <c r="Q51" s="419"/>
      <c r="R51" s="419"/>
      <c r="S51" s="419"/>
      <c r="T51" s="419"/>
    </row>
    <row r="52" ht="22.15" customHeight="1" spans="1:20">
      <c r="A52" s="419"/>
      <c r="B52" s="503">
        <f>财务指标及评价!B11</f>
        <v>5.1</v>
      </c>
      <c r="C52" s="434"/>
      <c r="D52" s="504" t="str">
        <f>财务指标及评价!C11</f>
        <v>年均营业收入</v>
      </c>
      <c r="E52" s="504" t="str">
        <f>财务指标及评价!D11</f>
        <v>万元</v>
      </c>
      <c r="F52" s="505">
        <f>财务指标及评价!E11</f>
        <v>3175.1526588955</v>
      </c>
      <c r="G52" s="419"/>
      <c r="H52" s="419"/>
      <c r="I52" s="419"/>
      <c r="J52" s="419"/>
      <c r="K52" s="419"/>
      <c r="L52" s="419"/>
      <c r="M52" s="419"/>
      <c r="N52" s="419"/>
      <c r="O52" s="419"/>
      <c r="P52" s="419"/>
      <c r="Q52" s="419"/>
      <c r="R52" s="419"/>
      <c r="S52" s="419"/>
      <c r="T52" s="419"/>
    </row>
    <row r="53" ht="22.15" customHeight="1" spans="1:20">
      <c r="A53" s="419"/>
      <c r="B53" s="499">
        <f>财务指标及评价!B12</f>
        <v>6</v>
      </c>
      <c r="C53" s="427"/>
      <c r="D53" s="500" t="str">
        <f>财务指标及评价!C12</f>
        <v>发电利润总额</v>
      </c>
      <c r="E53" s="500" t="str">
        <f>财务指标及评价!D12</f>
        <v>万元</v>
      </c>
      <c r="F53" s="502">
        <f>财务指标及评价!E12</f>
        <v>2760.75900997632</v>
      </c>
      <c r="G53" s="419"/>
      <c r="H53" s="419"/>
      <c r="I53" s="419"/>
      <c r="J53" s="419"/>
      <c r="K53" s="419"/>
      <c r="L53" s="419"/>
      <c r="M53" s="419"/>
      <c r="N53" s="419"/>
      <c r="O53" s="419"/>
      <c r="P53" s="419"/>
      <c r="Q53" s="419"/>
      <c r="R53" s="419"/>
      <c r="S53" s="419"/>
      <c r="T53" s="419"/>
    </row>
    <row r="54" ht="22.15" customHeight="1" spans="1:20">
      <c r="A54" s="419"/>
      <c r="B54" s="503">
        <f>财务指标及评价!B13</f>
        <v>6.1</v>
      </c>
      <c r="C54" s="434"/>
      <c r="D54" s="504" t="str">
        <f>财务指标及评价!C13</f>
        <v>年均利润总额</v>
      </c>
      <c r="E54" s="504" t="str">
        <f>财务指标及评价!D13</f>
        <v>万元</v>
      </c>
      <c r="F54" s="505">
        <f>财务指标及评价!E13</f>
        <v>230.06325083136</v>
      </c>
      <c r="G54" s="419"/>
      <c r="H54" s="419"/>
      <c r="I54" s="419"/>
      <c r="J54" s="419"/>
      <c r="K54" s="419"/>
      <c r="L54" s="419"/>
      <c r="M54" s="419"/>
      <c r="N54" s="419"/>
      <c r="O54" s="419"/>
      <c r="P54" s="419"/>
      <c r="Q54" s="419"/>
      <c r="R54" s="419"/>
      <c r="S54" s="419"/>
      <c r="T54" s="419"/>
    </row>
    <row r="55" ht="22.15" customHeight="1" spans="1:20">
      <c r="A55" s="419"/>
      <c r="B55" s="499">
        <f>财务指标及评价!B14</f>
        <v>7</v>
      </c>
      <c r="C55" s="427"/>
      <c r="D55" s="500" t="str">
        <f>财务指标及评价!C14</f>
        <v>发电净利润</v>
      </c>
      <c r="E55" s="500" t="str">
        <f>财务指标及评价!D14</f>
        <v>万元</v>
      </c>
      <c r="F55" s="502">
        <f>财务指标及评价!E14</f>
        <v>2532.84353646245</v>
      </c>
      <c r="G55" s="419"/>
      <c r="H55" s="419"/>
      <c r="I55" s="419"/>
      <c r="J55" s="419"/>
      <c r="K55" s="419"/>
      <c r="L55" s="419"/>
      <c r="M55" s="419"/>
      <c r="N55" s="419"/>
      <c r="O55" s="419"/>
      <c r="P55" s="419"/>
      <c r="Q55" s="419"/>
      <c r="R55" s="419"/>
      <c r="S55" s="419"/>
      <c r="T55" s="419"/>
    </row>
    <row r="56" ht="22.15" customHeight="1" spans="1:20">
      <c r="A56" s="419"/>
      <c r="B56" s="503">
        <f>财务指标及评价!B15</f>
        <v>7.1</v>
      </c>
      <c r="C56" s="434"/>
      <c r="D56" s="504" t="str">
        <f>财务指标及评价!C15</f>
        <v>年均净利润</v>
      </c>
      <c r="E56" s="504" t="str">
        <f>财务指标及评价!D15</f>
        <v>万元</v>
      </c>
      <c r="F56" s="505">
        <f>财务指标及评价!E15</f>
        <v>211.070294705204</v>
      </c>
      <c r="G56" s="419"/>
      <c r="H56" s="419"/>
      <c r="I56" s="419"/>
      <c r="J56" s="419"/>
      <c r="K56" s="419"/>
      <c r="L56" s="419"/>
      <c r="M56" s="419"/>
      <c r="N56" s="419"/>
      <c r="O56" s="419"/>
      <c r="P56" s="419"/>
      <c r="Q56" s="419"/>
      <c r="R56" s="419"/>
      <c r="S56" s="419"/>
      <c r="T56" s="419"/>
    </row>
    <row r="57" ht="22.15" customHeight="1" spans="1:20">
      <c r="A57" s="419"/>
      <c r="B57" s="499">
        <f>财务指标及评价!B16</f>
        <v>8</v>
      </c>
      <c r="C57" s="427"/>
      <c r="D57" s="500" t="str">
        <f>财务指标及评价!C16</f>
        <v>财务内部收益率</v>
      </c>
      <c r="E57" s="500"/>
      <c r="F57" s="507"/>
      <c r="G57" s="419"/>
      <c r="H57" s="419"/>
      <c r="I57" s="419"/>
      <c r="J57" s="419"/>
      <c r="K57" s="419"/>
      <c r="L57" s="419"/>
      <c r="M57" s="419"/>
      <c r="N57" s="419"/>
      <c r="O57" s="419"/>
      <c r="P57" s="419"/>
      <c r="Q57" s="419"/>
      <c r="R57" s="419"/>
      <c r="S57" s="419"/>
      <c r="T57" s="419"/>
    </row>
    <row r="58" ht="22.15" customHeight="1" spans="1:20">
      <c r="A58" s="419"/>
      <c r="B58" s="503">
        <f>财务指标及评价!B17</f>
        <v>8.1</v>
      </c>
      <c r="C58" s="434"/>
      <c r="D58" s="504" t="str">
        <f>财务指标及评价!C17</f>
        <v>全投资内部收益率</v>
      </c>
      <c r="E58" s="504" t="str">
        <f>财务指标及评价!D17</f>
        <v>%</v>
      </c>
      <c r="F58" s="508">
        <f>财务指标及评价!E17</f>
        <v>0.0637674301877296</v>
      </c>
      <c r="G58" s="419"/>
      <c r="H58" s="419"/>
      <c r="I58" s="419"/>
      <c r="J58" s="419"/>
      <c r="K58" s="419"/>
      <c r="L58" s="419"/>
      <c r="M58" s="419"/>
      <c r="N58" s="419"/>
      <c r="O58" s="419"/>
      <c r="P58" s="419"/>
      <c r="Q58" s="419"/>
      <c r="R58" s="419"/>
      <c r="S58" s="419"/>
      <c r="T58" s="419"/>
    </row>
    <row r="59" ht="22.15" customHeight="1" spans="1:20">
      <c r="A59" s="419"/>
      <c r="B59" s="503">
        <f>财务指标及评价!B18</f>
        <v>8.3</v>
      </c>
      <c r="C59" s="434"/>
      <c r="D59" s="504" t="str">
        <f>财务指标及评价!C18</f>
        <v>资本金内部收益率</v>
      </c>
      <c r="E59" s="504" t="str">
        <f>财务指标及评价!D18</f>
        <v>%</v>
      </c>
      <c r="F59" s="508">
        <f>财务指标及评价!E18</f>
        <v>0.179673272016877</v>
      </c>
      <c r="G59" s="419"/>
      <c r="H59" s="419"/>
      <c r="I59" s="419"/>
      <c r="J59" s="419"/>
      <c r="K59" s="419"/>
      <c r="L59" s="419"/>
      <c r="M59" s="419"/>
      <c r="N59" s="419"/>
      <c r="O59" s="419"/>
      <c r="P59" s="419"/>
      <c r="Q59" s="419"/>
      <c r="R59" s="419"/>
      <c r="S59" s="419"/>
      <c r="T59" s="419"/>
    </row>
    <row r="60" ht="22.15" customHeight="1" spans="1:20">
      <c r="A60" s="419"/>
      <c r="B60" s="509">
        <f>财务指标及评价!B19</f>
        <v>9</v>
      </c>
      <c r="C60" s="467"/>
      <c r="D60" s="510" t="str">
        <f>财务指标及评价!C19</f>
        <v>投资回收期</v>
      </c>
      <c r="E60" s="510" t="str">
        <f>财务指标及评价!D19</f>
        <v>年</v>
      </c>
      <c r="F60" s="511">
        <f>财务指标及评价!E19</f>
        <v>9.1963532410667</v>
      </c>
      <c r="G60" s="419"/>
      <c r="H60" s="419"/>
      <c r="I60" s="419"/>
      <c r="J60" s="419"/>
      <c r="K60" s="419"/>
      <c r="L60" s="419"/>
      <c r="M60" s="419"/>
      <c r="N60" s="419"/>
      <c r="O60" s="419"/>
      <c r="P60" s="419"/>
      <c r="Q60" s="419"/>
      <c r="R60" s="419"/>
      <c r="S60" s="419"/>
      <c r="T60" s="419"/>
    </row>
    <row r="61" spans="1:20">
      <c r="A61" s="419"/>
      <c r="B61" s="419"/>
      <c r="C61" s="419"/>
      <c r="D61" s="419"/>
      <c r="E61" s="419"/>
      <c r="F61" s="419"/>
      <c r="G61" s="419"/>
      <c r="H61" s="419"/>
      <c r="I61" s="419"/>
      <c r="J61" s="419"/>
      <c r="K61" s="419"/>
      <c r="L61" s="419"/>
      <c r="M61" s="419"/>
      <c r="N61" s="419"/>
      <c r="O61" s="419"/>
      <c r="P61" s="419"/>
      <c r="Q61" s="419"/>
      <c r="R61" s="419"/>
      <c r="S61" s="419"/>
      <c r="T61" s="419"/>
    </row>
    <row r="62" spans="1:20">
      <c r="A62" s="419"/>
      <c r="B62" s="419"/>
      <c r="C62" s="419"/>
      <c r="D62" s="419"/>
      <c r="E62" s="419"/>
      <c r="F62" s="419"/>
      <c r="G62" s="419"/>
      <c r="H62" s="419"/>
      <c r="I62" s="419"/>
      <c r="J62" s="419"/>
      <c r="K62" s="419"/>
      <c r="L62" s="419"/>
      <c r="M62" s="419"/>
      <c r="N62" s="419"/>
      <c r="O62" s="419"/>
      <c r="P62" s="419"/>
      <c r="Q62" s="419"/>
      <c r="R62" s="419"/>
      <c r="S62" s="419"/>
      <c r="T62" s="419"/>
    </row>
    <row r="63" spans="1:20">
      <c r="A63" s="419"/>
      <c r="B63" s="419"/>
      <c r="C63" s="419"/>
      <c r="D63" s="419"/>
      <c r="E63" s="419"/>
      <c r="F63" s="419"/>
      <c r="G63" s="419"/>
      <c r="H63" s="419"/>
      <c r="I63" s="419"/>
      <c r="J63" s="419"/>
      <c r="K63" s="419"/>
      <c r="L63" s="419"/>
      <c r="M63" s="419"/>
      <c r="N63" s="419"/>
      <c r="O63" s="419"/>
      <c r="P63" s="419"/>
      <c r="Q63" s="419"/>
      <c r="R63" s="419"/>
      <c r="S63" s="419"/>
      <c r="T63" s="419"/>
    </row>
    <row r="64" spans="1:20">
      <c r="A64" s="419"/>
      <c r="B64" s="484" t="s">
        <v>70</v>
      </c>
      <c r="C64" s="484"/>
      <c r="D64" s="512">
        <f>IF(输入参数!E35="享受西部大开发优惠政策",15%,25%)</f>
        <v>0.15</v>
      </c>
      <c r="E64" s="419"/>
      <c r="F64" s="419"/>
      <c r="G64" s="419"/>
      <c r="H64" s="419"/>
      <c r="I64" s="419"/>
      <c r="J64" s="419"/>
      <c r="K64" s="419"/>
      <c r="L64" s="419"/>
      <c r="M64" s="419"/>
      <c r="N64" s="419"/>
      <c r="O64" s="419"/>
      <c r="P64" s="419"/>
      <c r="Q64" s="419"/>
      <c r="R64" s="419"/>
      <c r="S64" s="419"/>
      <c r="T64" s="419"/>
    </row>
    <row r="65" spans="1:20">
      <c r="A65" s="419"/>
      <c r="B65" s="484" t="s">
        <v>71</v>
      </c>
      <c r="C65" s="484"/>
      <c r="D65" s="513">
        <f>IF(AND(E28&gt;0,E28&lt;=7.5),5,IF(AND(E28&gt;7.5,E28&lt;=15),6,IF(AND(E28&gt;15,E28&lt;25),8,IF(AND(E28&gt;=25),9+ROUNDDOWN((E28-20)/5,0),5))))</f>
        <v>5</v>
      </c>
      <c r="E65" s="419"/>
      <c r="F65" s="419"/>
      <c r="G65" s="419"/>
      <c r="H65" s="419"/>
      <c r="I65" s="419"/>
      <c r="J65" s="419"/>
      <c r="K65" s="419"/>
      <c r="L65" s="419"/>
      <c r="M65" s="419"/>
      <c r="N65" s="419"/>
      <c r="O65" s="419"/>
      <c r="P65" s="419"/>
      <c r="Q65" s="419"/>
      <c r="R65" s="419"/>
      <c r="S65" s="419"/>
      <c r="T65" s="419"/>
    </row>
    <row r="66" spans="1:20">
      <c r="A66" s="419"/>
      <c r="B66" s="514" t="s">
        <v>72</v>
      </c>
      <c r="C66" s="515"/>
      <c r="D66" s="516">
        <f>E28+E17</f>
        <v>10</v>
      </c>
      <c r="E66" s="419"/>
      <c r="F66" s="419"/>
      <c r="G66" s="419"/>
      <c r="H66" s="419"/>
      <c r="I66" s="419"/>
      <c r="J66" s="419"/>
      <c r="K66" s="419"/>
      <c r="L66" s="419"/>
      <c r="M66" s="419"/>
      <c r="N66" s="419"/>
      <c r="O66" s="419"/>
      <c r="P66" s="419"/>
      <c r="Q66" s="419"/>
      <c r="R66" s="419"/>
      <c r="S66" s="419"/>
      <c r="T66" s="419"/>
    </row>
    <row r="67" spans="1:20">
      <c r="A67" s="419"/>
      <c r="B67" s="484" t="s">
        <v>73</v>
      </c>
      <c r="C67" s="484"/>
      <c r="D67" s="513">
        <f>IF(AND(D66&gt;0,D66&lt;=7.5),5,IF(AND(D66&gt;7.5,D66&lt;=15),6,IF(AND(D66&gt;15,D66&lt;25),8,IF(AND(D66&gt;=25),9+ROUNDDOWN((D66-20)/5,0),5))))</f>
        <v>6</v>
      </c>
      <c r="E67" s="419"/>
      <c r="F67" s="419"/>
      <c r="G67" s="419"/>
      <c r="H67" s="419"/>
      <c r="I67" s="419"/>
      <c r="J67" s="419"/>
      <c r="K67" s="419"/>
      <c r="L67" s="419"/>
      <c r="M67" s="419"/>
      <c r="N67" s="419"/>
      <c r="O67" s="419"/>
      <c r="P67" s="419"/>
      <c r="Q67" s="419"/>
      <c r="R67" s="419"/>
      <c r="S67" s="419"/>
      <c r="T67" s="419"/>
    </row>
    <row r="68" spans="1:20">
      <c r="A68" s="419"/>
      <c r="B68" s="514" t="s">
        <v>74</v>
      </c>
      <c r="C68" s="515"/>
      <c r="D68" s="513">
        <f>D67-D65</f>
        <v>1</v>
      </c>
      <c r="E68" s="419"/>
      <c r="F68" s="419"/>
      <c r="G68" s="419"/>
      <c r="H68" s="419"/>
      <c r="I68" s="419"/>
      <c r="J68" s="419"/>
      <c r="K68" s="419"/>
      <c r="L68" s="419"/>
      <c r="M68" s="419"/>
      <c r="N68" s="419"/>
      <c r="O68" s="419"/>
      <c r="P68" s="419"/>
      <c r="Q68" s="419"/>
      <c r="R68" s="419"/>
      <c r="S68" s="419"/>
      <c r="T68" s="419"/>
    </row>
    <row r="69" spans="1:20">
      <c r="A69" s="419"/>
      <c r="B69" s="419"/>
      <c r="C69" s="419"/>
      <c r="D69" s="419"/>
      <c r="E69" s="419"/>
      <c r="F69" s="419"/>
      <c r="G69" s="419"/>
      <c r="H69" s="419"/>
      <c r="I69" s="419"/>
      <c r="J69" s="419"/>
      <c r="K69" s="419"/>
      <c r="L69" s="419"/>
      <c r="M69" s="419"/>
      <c r="N69" s="419"/>
      <c r="O69" s="419"/>
      <c r="P69" s="419"/>
      <c r="Q69" s="419"/>
      <c r="R69" s="419"/>
      <c r="S69" s="419"/>
      <c r="T69" s="419"/>
    </row>
    <row r="70" spans="1:20">
      <c r="A70" s="419"/>
      <c r="B70" s="419"/>
      <c r="C70" s="419"/>
      <c r="D70" s="419"/>
      <c r="E70" s="419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P70" s="419"/>
      <c r="Q70" s="419"/>
      <c r="R70" s="419"/>
      <c r="S70" s="419"/>
      <c r="T70" s="419"/>
    </row>
    <row r="71" spans="1:20">
      <c r="A71" s="419"/>
      <c r="B71" s="419"/>
      <c r="C71" s="419"/>
      <c r="D71" s="419"/>
      <c r="E71" s="419"/>
      <c r="F71" s="419"/>
      <c r="G71" s="419"/>
      <c r="H71" s="419"/>
      <c r="I71" s="419"/>
      <c r="J71" s="419"/>
      <c r="K71" s="419"/>
      <c r="L71" s="419"/>
      <c r="M71" s="419"/>
      <c r="N71" s="419"/>
      <c r="O71" s="419"/>
      <c r="P71" s="419"/>
      <c r="Q71" s="419"/>
      <c r="R71" s="419"/>
      <c r="S71" s="419"/>
      <c r="T71" s="419"/>
    </row>
    <row r="72" spans="1:20">
      <c r="A72" s="419"/>
      <c r="B72" s="419"/>
      <c r="C72" s="419"/>
      <c r="D72" s="419"/>
      <c r="E72" s="419"/>
      <c r="F72" s="419"/>
      <c r="G72" s="419"/>
      <c r="H72" s="419"/>
      <c r="I72" s="419"/>
      <c r="J72" s="419"/>
      <c r="K72" s="419"/>
      <c r="L72" s="419"/>
      <c r="M72" s="419"/>
      <c r="N72" s="419"/>
      <c r="O72" s="419"/>
      <c r="P72" s="419"/>
      <c r="Q72" s="419"/>
      <c r="R72" s="419"/>
      <c r="S72" s="419"/>
      <c r="T72" s="419"/>
    </row>
    <row r="73" spans="1:20">
      <c r="A73" s="419"/>
      <c r="B73" s="419"/>
      <c r="C73" s="419"/>
      <c r="D73" s="419"/>
      <c r="E73" s="419"/>
      <c r="F73" s="419"/>
      <c r="G73" s="419"/>
      <c r="H73" s="419"/>
      <c r="I73" s="419"/>
      <c r="J73" s="419"/>
      <c r="K73" s="419"/>
      <c r="L73" s="419"/>
      <c r="M73" s="419"/>
      <c r="N73" s="419"/>
      <c r="O73" s="419"/>
      <c r="P73" s="419"/>
      <c r="Q73" s="419"/>
      <c r="R73" s="419"/>
      <c r="S73" s="419"/>
      <c r="T73" s="419"/>
    </row>
    <row r="74" spans="1:20">
      <c r="A74" s="419"/>
      <c r="B74" s="419"/>
      <c r="C74" s="419"/>
      <c r="D74" s="419"/>
      <c r="E74" s="419"/>
      <c r="F74" s="419"/>
      <c r="G74" s="419"/>
      <c r="H74" s="419"/>
      <c r="I74" s="419"/>
      <c r="J74" s="419"/>
      <c r="K74" s="419"/>
      <c r="L74" s="419"/>
      <c r="M74" s="419"/>
      <c r="N74" s="419"/>
      <c r="O74" s="419"/>
      <c r="P74" s="419"/>
      <c r="Q74" s="419"/>
      <c r="R74" s="419"/>
      <c r="S74" s="419"/>
      <c r="T74" s="419"/>
    </row>
    <row r="75" spans="1:20">
      <c r="A75" s="419"/>
      <c r="B75" s="419"/>
      <c r="C75" s="419"/>
      <c r="D75" s="419"/>
      <c r="E75" s="419"/>
      <c r="F75" s="419"/>
      <c r="G75" s="419"/>
      <c r="H75" s="419"/>
      <c r="I75" s="419"/>
      <c r="J75" s="419"/>
      <c r="K75" s="419"/>
      <c r="L75" s="419"/>
      <c r="M75" s="419"/>
      <c r="N75" s="419"/>
      <c r="O75" s="419"/>
      <c r="P75" s="419"/>
      <c r="Q75" s="419"/>
      <c r="R75" s="419"/>
      <c r="S75" s="419"/>
      <c r="T75" s="419"/>
    </row>
    <row r="76" spans="1:20">
      <c r="A76" s="419"/>
      <c r="B76" s="419"/>
      <c r="C76" s="419"/>
      <c r="D76" s="419"/>
      <c r="E76" s="419"/>
      <c r="F76" s="419"/>
      <c r="G76" s="419"/>
      <c r="H76" s="419"/>
      <c r="I76" s="419"/>
      <c r="J76" s="419"/>
      <c r="K76" s="419"/>
      <c r="L76" s="419"/>
      <c r="M76" s="419"/>
      <c r="N76" s="419"/>
      <c r="O76" s="419"/>
      <c r="P76" s="419"/>
      <c r="Q76" s="419"/>
      <c r="R76" s="419"/>
      <c r="S76" s="419"/>
      <c r="T76" s="419"/>
    </row>
    <row r="77" spans="1:20">
      <c r="A77" s="419"/>
      <c r="B77" s="419"/>
      <c r="C77" s="419"/>
      <c r="D77" s="419"/>
      <c r="E77" s="419"/>
      <c r="F77" s="419"/>
      <c r="G77" s="419"/>
      <c r="H77" s="419"/>
      <c r="I77" s="419"/>
      <c r="J77" s="419"/>
      <c r="K77" s="419"/>
      <c r="L77" s="419"/>
      <c r="M77" s="419"/>
      <c r="N77" s="419"/>
      <c r="O77" s="419"/>
      <c r="P77" s="419"/>
      <c r="Q77" s="419"/>
      <c r="R77" s="419"/>
      <c r="S77" s="419"/>
      <c r="T77" s="419"/>
    </row>
    <row r="78" spans="1:20">
      <c r="A78" s="419"/>
      <c r="B78" s="419"/>
      <c r="C78" s="419"/>
      <c r="D78" s="419"/>
      <c r="E78" s="419"/>
      <c r="F78" s="419"/>
      <c r="G78" s="419"/>
      <c r="H78" s="419"/>
      <c r="I78" s="419"/>
      <c r="J78" s="419"/>
      <c r="K78" s="419"/>
      <c r="L78" s="419"/>
      <c r="M78" s="419"/>
      <c r="N78" s="419"/>
      <c r="O78" s="419"/>
      <c r="P78" s="419"/>
      <c r="Q78" s="419"/>
      <c r="R78" s="419"/>
      <c r="S78" s="419"/>
      <c r="T78" s="419"/>
    </row>
    <row r="79" spans="1:20">
      <c r="A79" s="419"/>
      <c r="B79" s="419"/>
      <c r="C79" s="419"/>
      <c r="D79" s="419"/>
      <c r="E79" s="419"/>
      <c r="F79" s="419"/>
      <c r="G79" s="419"/>
      <c r="H79" s="419"/>
      <c r="I79" s="419"/>
      <c r="J79" s="419"/>
      <c r="K79" s="419"/>
      <c r="L79" s="419"/>
      <c r="M79" s="419"/>
      <c r="N79" s="419"/>
      <c r="O79" s="419"/>
      <c r="P79" s="419"/>
      <c r="Q79" s="419"/>
      <c r="R79" s="419"/>
      <c r="S79" s="419"/>
      <c r="T79" s="419"/>
    </row>
    <row r="80" spans="1:20">
      <c r="A80" s="419"/>
      <c r="B80" s="419"/>
      <c r="C80" s="419"/>
      <c r="D80" s="419"/>
      <c r="E80" s="419"/>
      <c r="F80" s="419"/>
      <c r="G80" s="419"/>
      <c r="H80" s="419"/>
      <c r="I80" s="419"/>
      <c r="J80" s="419"/>
      <c r="K80" s="419"/>
      <c r="L80" s="419"/>
      <c r="M80" s="419"/>
      <c r="N80" s="419"/>
      <c r="O80" s="419"/>
      <c r="P80" s="419"/>
      <c r="Q80" s="419"/>
      <c r="R80" s="419"/>
      <c r="S80" s="419"/>
      <c r="T80" s="419"/>
    </row>
    <row r="81" spans="1:20">
      <c r="A81" s="419"/>
      <c r="B81" s="419"/>
      <c r="C81" s="419"/>
      <c r="D81" s="419"/>
      <c r="E81" s="419"/>
      <c r="F81" s="419"/>
      <c r="G81" s="419"/>
      <c r="H81" s="419"/>
      <c r="I81" s="419"/>
      <c r="J81" s="419"/>
      <c r="K81" s="419"/>
      <c r="L81" s="419"/>
      <c r="M81" s="419"/>
      <c r="N81" s="419"/>
      <c r="O81" s="419"/>
      <c r="P81" s="419"/>
      <c r="Q81" s="419"/>
      <c r="R81" s="419"/>
      <c r="S81" s="419"/>
      <c r="T81" s="419"/>
    </row>
    <row r="82" spans="1:20">
      <c r="A82" s="419"/>
      <c r="B82" s="419"/>
      <c r="C82" s="419"/>
      <c r="D82" s="419"/>
      <c r="E82" s="419"/>
      <c r="F82" s="419"/>
      <c r="G82" s="419"/>
      <c r="H82" s="419"/>
      <c r="I82" s="419"/>
      <c r="J82" s="419"/>
      <c r="K82" s="419"/>
      <c r="L82" s="419"/>
      <c r="M82" s="419"/>
      <c r="N82" s="419"/>
      <c r="O82" s="419"/>
      <c r="P82" s="419"/>
      <c r="Q82" s="419"/>
      <c r="R82" s="419"/>
      <c r="S82" s="419"/>
      <c r="T82" s="419"/>
    </row>
  </sheetData>
  <mergeCells count="36">
    <mergeCell ref="B1:F1"/>
    <mergeCell ref="C39:F39"/>
    <mergeCell ref="C41:F41"/>
    <mergeCell ref="B42:F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4:C64"/>
    <mergeCell ref="B65:C65"/>
    <mergeCell ref="B66:C66"/>
    <mergeCell ref="B67:C67"/>
    <mergeCell ref="B68:C68"/>
    <mergeCell ref="B3:B13"/>
    <mergeCell ref="B14:B16"/>
    <mergeCell ref="B17:B35"/>
    <mergeCell ref="B36:B37"/>
    <mergeCell ref="C9:C13"/>
    <mergeCell ref="C24:C26"/>
    <mergeCell ref="C27:C29"/>
    <mergeCell ref="C31:C32"/>
    <mergeCell ref="F27:F29"/>
  </mergeCells>
  <dataValidations count="9">
    <dataValidation type="list" allowBlank="1" showInputMessage="1" showErrorMessage="1" sqref="E10 E27">
      <formula1>"是,否"</formula1>
    </dataValidation>
    <dataValidation type="list" allowBlank="1" showInputMessage="1" showErrorMessage="1" sqref="E11">
      <formula1>"青海,新疆,宁夏,蒙西,蒙东,甘肃,陕西(榆林),陕西,冀北,吉林,黑龙江,辽宁,安徽,江苏,福建,山东,浙江,广东,其他"</formula1>
    </dataValidation>
    <dataValidation type="list" allowBlank="1" showInputMessage="1" showErrorMessage="1" sqref="E19">
      <formula1>"等额本息,等额本金"</formula1>
    </dataValidation>
    <dataValidation type="list" allowBlank="1" showInputMessage="1" showErrorMessage="1" sqref="E21">
      <formula1>"江苏公司,河北公司,山东公司,内蒙公司,新疆公司,陕西公司,青海公司,甘肃公司"</formula1>
    </dataValidation>
    <dataValidation type="list" allowBlank="1" showInputMessage="1" showErrorMessage="1" sqref="E23">
      <formula1>"直线折旧,分类折旧"</formula1>
    </dataValidation>
    <dataValidation type="list" allowBlank="1" showInputMessage="1" showErrorMessage="1" sqref="E24">
      <formula1>"不包含送出线路及对侧间隔,包含20km以内高压送出线路及对侧间隔,包含40km以内高压送出线路及对侧间隔,包含70km以内高压送出线路及对侧间隔,包含100km以内高压送出线路及对侧间隔"</formula1>
    </dataValidation>
    <dataValidation type="list" allowBlank="1" showInputMessage="1" showErrorMessage="1" sqref="E25">
      <formula1>"330kV以下,330kV及以上"</formula1>
    </dataValidation>
    <dataValidation type="list" allowBlank="1" showInputMessage="1" showErrorMessage="1" sqref="E26">
      <formula1>"按参数取值,手动输入"</formula1>
    </dataValidation>
    <dataValidation type="list" allowBlank="1" showInputMessage="1" showErrorMessage="1" sqref="E35">
      <formula1>"享受西部大开发优惠政策,不享受西部大开发优惠政策"</formula1>
    </dataValidation>
  </dataValidations>
  <pageMargins left="0.699305555555556" right="0.699305555555556" top="0.75" bottom="0.75" header="0.3" footer="0.3"/>
  <pageSetup paperSize="9" orientation="portrait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theme="9" tint="-0.249977111117893"/>
  </sheetPr>
  <dimension ref="B1:O37"/>
  <sheetViews>
    <sheetView workbookViewId="0">
      <selection activeCell="J38" sqref="J38"/>
    </sheetView>
  </sheetViews>
  <sheetFormatPr defaultColWidth="9" defaultRowHeight="15"/>
  <cols>
    <col min="1" max="1" width="12.8" style="2"/>
    <col min="2" max="2" width="27.1" style="2" customWidth="1"/>
    <col min="3" max="3" width="9" style="2"/>
    <col min="4" max="4" width="10.0833333333333" style="2" customWidth="1"/>
    <col min="5" max="5" width="11.3333333333333" style="2" customWidth="1"/>
    <col min="6" max="8" width="12.5833333333333" style="2"/>
    <col min="9" max="9" width="10.25" style="2" customWidth="1"/>
    <col min="10" max="10" width="10.8333333333333" style="2" customWidth="1"/>
    <col min="11" max="11" width="10.5" style="2" customWidth="1"/>
    <col min="12" max="12" width="10.25" style="2" customWidth="1"/>
    <col min="13" max="13" width="10.0833333333333" style="2" customWidth="1"/>
    <col min="14" max="14" width="10.5833333333333" style="2" customWidth="1"/>
    <col min="15" max="15" width="10.3333333333333" style="2" customWidth="1"/>
    <col min="16" max="16384" width="9" style="2"/>
  </cols>
  <sheetData>
    <row r="1" ht="15.75"/>
    <row r="2" ht="17.5" spans="2:15">
      <c r="B2" s="399"/>
      <c r="C2" s="104" t="s">
        <v>75</v>
      </c>
      <c r="D2" s="400" t="s">
        <v>76</v>
      </c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1"/>
    </row>
    <row r="3" spans="2:15">
      <c r="B3" s="402"/>
      <c r="C3" s="12" t="s">
        <v>77</v>
      </c>
      <c r="D3" s="12" t="s">
        <v>78</v>
      </c>
      <c r="E3" s="12" t="s">
        <v>79</v>
      </c>
      <c r="F3" s="12" t="s">
        <v>80</v>
      </c>
      <c r="G3" s="12" t="s">
        <v>81</v>
      </c>
      <c r="H3" s="12" t="s">
        <v>82</v>
      </c>
      <c r="I3" s="12" t="s">
        <v>83</v>
      </c>
      <c r="J3" s="12" t="s">
        <v>84</v>
      </c>
      <c r="K3" s="12" t="s">
        <v>85</v>
      </c>
      <c r="L3" s="12" t="s">
        <v>86</v>
      </c>
      <c r="M3" s="12" t="s">
        <v>87</v>
      </c>
      <c r="N3" s="12" t="s">
        <v>88</v>
      </c>
      <c r="O3" s="167" t="s">
        <v>89</v>
      </c>
    </row>
    <row r="4" spans="2:15">
      <c r="B4" s="403"/>
      <c r="C4" s="404" t="s">
        <v>62</v>
      </c>
      <c r="D4" s="404" t="s">
        <v>62</v>
      </c>
      <c r="E4" s="404" t="s">
        <v>62</v>
      </c>
      <c r="F4" s="404" t="s">
        <v>62</v>
      </c>
      <c r="G4" s="404" t="s">
        <v>62</v>
      </c>
      <c r="H4" s="404" t="s">
        <v>62</v>
      </c>
      <c r="I4" s="404" t="s">
        <v>62</v>
      </c>
      <c r="J4" s="404" t="s">
        <v>62</v>
      </c>
      <c r="K4" s="404" t="s">
        <v>62</v>
      </c>
      <c r="L4" s="404" t="s">
        <v>62</v>
      </c>
      <c r="M4" s="404" t="s">
        <v>62</v>
      </c>
      <c r="N4" s="404" t="s">
        <v>62</v>
      </c>
      <c r="O4" s="405" t="s">
        <v>62</v>
      </c>
    </row>
    <row r="5" spans="2:15">
      <c r="B5" s="403" t="s">
        <v>90</v>
      </c>
      <c r="C5" s="404" t="s">
        <v>62</v>
      </c>
      <c r="D5" s="406">
        <f>'表2-利润与利润分配表'!F15</f>
        <v>4016.42557377049</v>
      </c>
      <c r="E5" s="406">
        <f>'表2-利润与利润分配表'!G15</f>
        <v>3941.28836065574</v>
      </c>
      <c r="F5" s="406">
        <f>'表2-利润与利润分配表'!H15</f>
        <v>3872.98180327869</v>
      </c>
      <c r="G5" s="406">
        <f>'表2-利润与利润分配表'!I15</f>
        <v>3822.89032786885</v>
      </c>
      <c r="H5" s="406">
        <f>'表2-利润与利润分配表'!J15</f>
        <v>3765.96819672131</v>
      </c>
      <c r="I5" s="406">
        <f>'表2-利润与利润分配表'!K15</f>
        <v>3724.98426229508</v>
      </c>
      <c r="J5" s="406">
        <f>'表2-利润与利润分配表'!L15</f>
        <v>3674.89278688525</v>
      </c>
      <c r="K5" s="406">
        <f>'表2-利润与利润分配表'!M15</f>
        <v>3638.46262295082</v>
      </c>
      <c r="L5" s="406">
        <f>'表2-利润与利润分配表'!N15</f>
        <v>3588.37114754098</v>
      </c>
      <c r="M5" s="406">
        <f>'表2-利润与利润分配表'!O15</f>
        <v>3558.77163934426</v>
      </c>
      <c r="N5" s="406">
        <f>'表2-利润与利润分配表'!P15</f>
        <v>3515.51081967213</v>
      </c>
      <c r="O5" s="407">
        <f>'表2-利润与利润分配表'!Q15</f>
        <v>3485.91131147541</v>
      </c>
    </row>
    <row r="6" hidden="1" spans="2:15">
      <c r="B6" s="403"/>
      <c r="C6" s="404"/>
      <c r="D6" s="406"/>
      <c r="E6" s="406"/>
      <c r="F6" s="406"/>
      <c r="G6" s="406"/>
      <c r="H6" s="406"/>
      <c r="I6" s="406"/>
      <c r="J6" s="406"/>
      <c r="K6" s="406"/>
      <c r="L6" s="406"/>
      <c r="M6" s="406"/>
      <c r="N6" s="406"/>
      <c r="O6" s="407"/>
    </row>
    <row r="7" hidden="1" spans="2:15">
      <c r="B7" s="403"/>
      <c r="C7" s="404"/>
      <c r="D7" s="406"/>
      <c r="E7" s="406"/>
      <c r="F7" s="406"/>
      <c r="G7" s="406"/>
      <c r="H7" s="406"/>
      <c r="I7" s="406"/>
      <c r="J7" s="406"/>
      <c r="K7" s="406"/>
      <c r="L7" s="406"/>
      <c r="M7" s="406"/>
      <c r="N7" s="406"/>
      <c r="O7" s="407"/>
    </row>
    <row r="8" hidden="1" spans="2:15">
      <c r="B8" s="403"/>
      <c r="C8" s="404" t="s">
        <v>62</v>
      </c>
      <c r="D8" s="406" t="s">
        <v>62</v>
      </c>
      <c r="E8" s="406" t="s">
        <v>62</v>
      </c>
      <c r="F8" s="406" t="s">
        <v>62</v>
      </c>
      <c r="G8" s="406" t="s">
        <v>62</v>
      </c>
      <c r="H8" s="406" t="s">
        <v>62</v>
      </c>
      <c r="I8" s="406" t="s">
        <v>62</v>
      </c>
      <c r="J8" s="406" t="s">
        <v>62</v>
      </c>
      <c r="K8" s="406" t="s">
        <v>62</v>
      </c>
      <c r="L8" s="406" t="s">
        <v>62</v>
      </c>
      <c r="M8" s="406" t="s">
        <v>62</v>
      </c>
      <c r="N8" s="406" t="s">
        <v>62</v>
      </c>
      <c r="O8" s="407" t="s">
        <v>62</v>
      </c>
    </row>
    <row r="9" hidden="1" spans="2:15">
      <c r="B9" s="403"/>
      <c r="C9" s="404" t="s">
        <v>62</v>
      </c>
      <c r="D9" s="406" t="s">
        <v>62</v>
      </c>
      <c r="E9" s="406" t="s">
        <v>62</v>
      </c>
      <c r="F9" s="406" t="s">
        <v>62</v>
      </c>
      <c r="G9" s="406" t="s">
        <v>62</v>
      </c>
      <c r="H9" s="406" t="s">
        <v>62</v>
      </c>
      <c r="I9" s="406" t="s">
        <v>62</v>
      </c>
      <c r="J9" s="406" t="s">
        <v>62</v>
      </c>
      <c r="K9" s="406" t="s">
        <v>62</v>
      </c>
      <c r="L9" s="406" t="s">
        <v>62</v>
      </c>
      <c r="M9" s="406" t="s">
        <v>62</v>
      </c>
      <c r="N9" s="406" t="s">
        <v>62</v>
      </c>
      <c r="O9" s="407" t="s">
        <v>62</v>
      </c>
    </row>
    <row r="10" hidden="1" spans="2:15">
      <c r="B10" s="403"/>
      <c r="C10" s="404" t="s">
        <v>62</v>
      </c>
      <c r="D10" s="406" t="s">
        <v>62</v>
      </c>
      <c r="E10" s="406" t="s">
        <v>62</v>
      </c>
      <c r="F10" s="406" t="s">
        <v>62</v>
      </c>
      <c r="G10" s="406" t="s">
        <v>62</v>
      </c>
      <c r="H10" s="406" t="s">
        <v>62</v>
      </c>
      <c r="I10" s="406" t="s">
        <v>62</v>
      </c>
      <c r="J10" s="406" t="s">
        <v>62</v>
      </c>
      <c r="K10" s="406" t="s">
        <v>62</v>
      </c>
      <c r="L10" s="406" t="s">
        <v>62</v>
      </c>
      <c r="M10" s="406" t="s">
        <v>62</v>
      </c>
      <c r="N10" s="406" t="s">
        <v>62</v>
      </c>
      <c r="O10" s="407" t="s">
        <v>62</v>
      </c>
    </row>
    <row r="11" hidden="1" spans="2:15">
      <c r="B11" s="403"/>
      <c r="C11" s="404" t="s">
        <v>62</v>
      </c>
      <c r="D11" s="406" t="s">
        <v>62</v>
      </c>
      <c r="E11" s="406" t="s">
        <v>62</v>
      </c>
      <c r="F11" s="406" t="s">
        <v>62</v>
      </c>
      <c r="G11" s="406" t="s">
        <v>62</v>
      </c>
      <c r="H11" s="406" t="s">
        <v>62</v>
      </c>
      <c r="I11" s="406" t="s">
        <v>62</v>
      </c>
      <c r="J11" s="406" t="s">
        <v>62</v>
      </c>
      <c r="K11" s="406" t="s">
        <v>62</v>
      </c>
      <c r="L11" s="406" t="s">
        <v>62</v>
      </c>
      <c r="M11" s="406" t="s">
        <v>62</v>
      </c>
      <c r="N11" s="406" t="s">
        <v>62</v>
      </c>
      <c r="O11" s="407" t="s">
        <v>62</v>
      </c>
    </row>
    <row r="12" hidden="1" spans="2:15">
      <c r="B12" s="403"/>
      <c r="C12" s="404" t="s">
        <v>62</v>
      </c>
      <c r="D12" s="406" t="s">
        <v>62</v>
      </c>
      <c r="E12" s="406" t="s">
        <v>62</v>
      </c>
      <c r="F12" s="406" t="s">
        <v>62</v>
      </c>
      <c r="G12" s="406" t="s">
        <v>62</v>
      </c>
      <c r="H12" s="406" t="s">
        <v>62</v>
      </c>
      <c r="I12" s="406" t="s">
        <v>62</v>
      </c>
      <c r="J12" s="406" t="s">
        <v>62</v>
      </c>
      <c r="K12" s="406" t="s">
        <v>62</v>
      </c>
      <c r="L12" s="406" t="s">
        <v>62</v>
      </c>
      <c r="M12" s="406" t="s">
        <v>62</v>
      </c>
      <c r="N12" s="406" t="s">
        <v>62</v>
      </c>
      <c r="O12" s="407" t="s">
        <v>62</v>
      </c>
    </row>
    <row r="13" hidden="1" spans="2:15">
      <c r="B13" s="403"/>
      <c r="C13" s="404" t="s">
        <v>62</v>
      </c>
      <c r="D13" s="406" t="s">
        <v>62</v>
      </c>
      <c r="E13" s="406" t="s">
        <v>62</v>
      </c>
      <c r="F13" s="406" t="s">
        <v>62</v>
      </c>
      <c r="G13" s="406" t="s">
        <v>62</v>
      </c>
      <c r="H13" s="406" t="s">
        <v>62</v>
      </c>
      <c r="I13" s="406" t="s">
        <v>62</v>
      </c>
      <c r="J13" s="406" t="s">
        <v>62</v>
      </c>
      <c r="K13" s="406" t="s">
        <v>62</v>
      </c>
      <c r="L13" s="406" t="s">
        <v>62</v>
      </c>
      <c r="M13" s="406" t="s">
        <v>62</v>
      </c>
      <c r="N13" s="406" t="s">
        <v>62</v>
      </c>
      <c r="O13" s="407" t="s">
        <v>62</v>
      </c>
    </row>
    <row r="14" spans="2:15">
      <c r="B14" s="403" t="s">
        <v>91</v>
      </c>
      <c r="C14" s="404" t="s">
        <v>62</v>
      </c>
      <c r="D14" s="406">
        <f>分类折旧!I80</f>
        <v>1149.2888433547</v>
      </c>
      <c r="E14" s="406">
        <f>D14</f>
        <v>1149.2888433547</v>
      </c>
      <c r="F14" s="406">
        <f>E14</f>
        <v>1149.2888433547</v>
      </c>
      <c r="G14" s="406">
        <f t="shared" ref="F14:H14" si="0">F14</f>
        <v>1149.2888433547</v>
      </c>
      <c r="H14" s="406">
        <f t="shared" si="0"/>
        <v>1149.2888433547</v>
      </c>
      <c r="I14" s="406">
        <f>分类折旧!J80</f>
        <v>1149.2888433547</v>
      </c>
      <c r="J14" s="406">
        <f>分类折旧!K80</f>
        <v>1149.2888433547</v>
      </c>
      <c r="K14" s="406">
        <f>分类折旧!L80</f>
        <v>1149.2888433547</v>
      </c>
      <c r="L14" s="406">
        <f>分类折旧!M80</f>
        <v>1149.2888433547</v>
      </c>
      <c r="M14" s="406">
        <f>分类折旧!M80</f>
        <v>1149.2888433547</v>
      </c>
      <c r="N14" s="406">
        <f>分类折旧!N80</f>
        <v>1149.2888433547</v>
      </c>
      <c r="O14" s="407">
        <f>N14</f>
        <v>1149.2888433547</v>
      </c>
    </row>
    <row r="15" spans="2:15">
      <c r="B15" s="403" t="s">
        <v>92</v>
      </c>
      <c r="C15" s="404" t="s">
        <v>62</v>
      </c>
      <c r="D15" s="406">
        <f>运维费!C20</f>
        <v>78.3490183518592</v>
      </c>
      <c r="E15" s="406">
        <f>运维费!D20</f>
        <v>84.186272939824</v>
      </c>
      <c r="F15" s="406">
        <f>运维费!E20</f>
        <v>84.186272939824</v>
      </c>
      <c r="G15" s="406">
        <f>运维费!F20</f>
        <v>84.186272939824</v>
      </c>
      <c r="H15" s="406">
        <f>运维费!G20</f>
        <v>90.0235275277888</v>
      </c>
      <c r="I15" s="406">
        <f>运维费!H20</f>
        <v>90.0235275277888</v>
      </c>
      <c r="J15" s="406">
        <f>运维费!I20</f>
        <v>90.0235275277888</v>
      </c>
      <c r="K15" s="406">
        <f>运维费!J20</f>
        <v>90.0235275277888</v>
      </c>
      <c r="L15" s="406">
        <f>运维费!K20</f>
        <v>98.779409409736</v>
      </c>
      <c r="M15" s="406">
        <f>运维费!L20</f>
        <v>98.779409409736</v>
      </c>
      <c r="N15" s="406">
        <f>运维费!M20</f>
        <v>98.779409409736</v>
      </c>
      <c r="O15" s="407">
        <f>运维费!N20</f>
        <v>98.779409409736</v>
      </c>
    </row>
    <row r="16" hidden="1" spans="2:15">
      <c r="B16" s="403"/>
      <c r="C16" s="404"/>
      <c r="D16" s="406"/>
      <c r="E16" s="406"/>
      <c r="F16" s="406"/>
      <c r="G16" s="406"/>
      <c r="H16" s="406"/>
      <c r="I16" s="406"/>
      <c r="J16" s="406"/>
      <c r="K16" s="406"/>
      <c r="L16" s="406"/>
      <c r="M16" s="406"/>
      <c r="N16" s="406"/>
      <c r="O16" s="407"/>
    </row>
    <row r="17" hidden="1" spans="2:15">
      <c r="B17" s="403"/>
      <c r="C17" s="404"/>
      <c r="D17" s="406"/>
      <c r="E17" s="406"/>
      <c r="F17" s="406"/>
      <c r="G17" s="406"/>
      <c r="H17" s="406"/>
      <c r="I17" s="406"/>
      <c r="J17" s="406"/>
      <c r="K17" s="406"/>
      <c r="L17" s="406"/>
      <c r="M17" s="406"/>
      <c r="N17" s="406"/>
      <c r="O17" s="407"/>
    </row>
    <row r="18" hidden="1" spans="2:15">
      <c r="B18" s="403"/>
      <c r="C18" s="404"/>
      <c r="D18" s="406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7"/>
    </row>
    <row r="19" hidden="1" spans="2:15">
      <c r="B19" s="403"/>
      <c r="C19" s="404" t="s">
        <v>62</v>
      </c>
      <c r="D19" s="406" t="s">
        <v>62</v>
      </c>
      <c r="E19" s="406" t="s">
        <v>62</v>
      </c>
      <c r="F19" s="406" t="s">
        <v>62</v>
      </c>
      <c r="G19" s="406" t="s">
        <v>62</v>
      </c>
      <c r="H19" s="406" t="s">
        <v>62</v>
      </c>
      <c r="I19" s="406" t="s">
        <v>62</v>
      </c>
      <c r="J19" s="406" t="s">
        <v>62</v>
      </c>
      <c r="K19" s="406" t="s">
        <v>62</v>
      </c>
      <c r="L19" s="406" t="s">
        <v>62</v>
      </c>
      <c r="M19" s="406" t="s">
        <v>62</v>
      </c>
      <c r="N19" s="406" t="s">
        <v>62</v>
      </c>
      <c r="O19" s="407" t="s">
        <v>62</v>
      </c>
    </row>
    <row r="20" hidden="1" spans="2:15">
      <c r="B20" s="403"/>
      <c r="C20" s="404" t="s">
        <v>62</v>
      </c>
      <c r="D20" s="406" t="s">
        <v>62</v>
      </c>
      <c r="E20" s="406" t="s">
        <v>62</v>
      </c>
      <c r="F20" s="406" t="s">
        <v>62</v>
      </c>
      <c r="G20" s="406" t="s">
        <v>62</v>
      </c>
      <c r="H20" s="406" t="s">
        <v>62</v>
      </c>
      <c r="I20" s="406" t="s">
        <v>62</v>
      </c>
      <c r="J20" s="406" t="s">
        <v>62</v>
      </c>
      <c r="K20" s="406" t="s">
        <v>62</v>
      </c>
      <c r="L20" s="406" t="s">
        <v>62</v>
      </c>
      <c r="M20" s="406" t="s">
        <v>62</v>
      </c>
      <c r="N20" s="406" t="s">
        <v>62</v>
      </c>
      <c r="O20" s="407" t="s">
        <v>62</v>
      </c>
    </row>
    <row r="21" hidden="1" spans="2:15">
      <c r="B21" s="403"/>
      <c r="C21" s="404" t="s">
        <v>62</v>
      </c>
      <c r="D21" s="406" t="s">
        <v>62</v>
      </c>
      <c r="E21" s="406" t="s">
        <v>62</v>
      </c>
      <c r="F21" s="406" t="s">
        <v>62</v>
      </c>
      <c r="G21" s="406" t="s">
        <v>62</v>
      </c>
      <c r="H21" s="406" t="s">
        <v>62</v>
      </c>
      <c r="I21" s="406" t="s">
        <v>62</v>
      </c>
      <c r="J21" s="406" t="s">
        <v>62</v>
      </c>
      <c r="K21" s="406" t="s">
        <v>62</v>
      </c>
      <c r="L21" s="406" t="s">
        <v>62</v>
      </c>
      <c r="M21" s="406" t="s">
        <v>62</v>
      </c>
      <c r="N21" s="406" t="s">
        <v>62</v>
      </c>
      <c r="O21" s="407" t="s">
        <v>62</v>
      </c>
    </row>
    <row r="22" hidden="1" spans="2:15">
      <c r="B22" s="403"/>
      <c r="C22" s="404" t="s">
        <v>62</v>
      </c>
      <c r="D22" s="406" t="s">
        <v>62</v>
      </c>
      <c r="E22" s="406" t="s">
        <v>62</v>
      </c>
      <c r="F22" s="406" t="s">
        <v>62</v>
      </c>
      <c r="G22" s="406" t="s">
        <v>62</v>
      </c>
      <c r="H22" s="406" t="s">
        <v>62</v>
      </c>
      <c r="I22" s="406" t="s">
        <v>62</v>
      </c>
      <c r="J22" s="406" t="s">
        <v>62</v>
      </c>
      <c r="K22" s="406" t="s">
        <v>62</v>
      </c>
      <c r="L22" s="406" t="s">
        <v>62</v>
      </c>
      <c r="M22" s="406" t="s">
        <v>62</v>
      </c>
      <c r="N22" s="406" t="s">
        <v>62</v>
      </c>
      <c r="O22" s="407" t="s">
        <v>62</v>
      </c>
    </row>
    <row r="23" hidden="1" spans="2:15">
      <c r="B23" s="403"/>
      <c r="C23" s="404" t="s">
        <v>62</v>
      </c>
      <c r="D23" s="406" t="s">
        <v>62</v>
      </c>
      <c r="E23" s="406" t="s">
        <v>62</v>
      </c>
      <c r="F23" s="406" t="s">
        <v>62</v>
      </c>
      <c r="G23" s="406" t="s">
        <v>62</v>
      </c>
      <c r="H23" s="406" t="s">
        <v>62</v>
      </c>
      <c r="I23" s="406" t="s">
        <v>62</v>
      </c>
      <c r="J23" s="406" t="s">
        <v>62</v>
      </c>
      <c r="K23" s="406" t="s">
        <v>62</v>
      </c>
      <c r="L23" s="406" t="s">
        <v>62</v>
      </c>
      <c r="M23" s="406" t="s">
        <v>62</v>
      </c>
      <c r="N23" s="406" t="s">
        <v>62</v>
      </c>
      <c r="O23" s="407" t="s">
        <v>62</v>
      </c>
    </row>
    <row r="24" hidden="1" spans="2:15">
      <c r="B24" s="403"/>
      <c r="C24" s="404" t="s">
        <v>62</v>
      </c>
      <c r="D24" s="406" t="s">
        <v>62</v>
      </c>
      <c r="E24" s="406" t="s">
        <v>62</v>
      </c>
      <c r="F24" s="406" t="s">
        <v>62</v>
      </c>
      <c r="G24" s="406" t="s">
        <v>62</v>
      </c>
      <c r="H24" s="406" t="s">
        <v>62</v>
      </c>
      <c r="I24" s="406" t="s">
        <v>62</v>
      </c>
      <c r="J24" s="406" t="s">
        <v>62</v>
      </c>
      <c r="K24" s="406" t="s">
        <v>62</v>
      </c>
      <c r="L24" s="406" t="s">
        <v>62</v>
      </c>
      <c r="M24" s="406" t="s">
        <v>62</v>
      </c>
      <c r="N24" s="406" t="s">
        <v>62</v>
      </c>
      <c r="O24" s="407" t="s">
        <v>62</v>
      </c>
    </row>
    <row r="25" s="2" customFormat="1" spans="2:15">
      <c r="B25" s="403" t="s">
        <v>93</v>
      </c>
      <c r="C25" s="404" t="s">
        <v>62</v>
      </c>
      <c r="D25" s="406">
        <f>输入参数!E36</f>
        <v>35.2000176</v>
      </c>
      <c r="E25" s="406">
        <f>D25</f>
        <v>35.2000176</v>
      </c>
      <c r="F25" s="406">
        <f t="shared" ref="F25:O25" si="1">E25</f>
        <v>35.2000176</v>
      </c>
      <c r="G25" s="406">
        <f t="shared" si="1"/>
        <v>35.2000176</v>
      </c>
      <c r="H25" s="406">
        <f t="shared" si="1"/>
        <v>35.2000176</v>
      </c>
      <c r="I25" s="406">
        <f t="shared" si="1"/>
        <v>35.2000176</v>
      </c>
      <c r="J25" s="406">
        <f t="shared" si="1"/>
        <v>35.2000176</v>
      </c>
      <c r="K25" s="406">
        <f t="shared" si="1"/>
        <v>35.2000176</v>
      </c>
      <c r="L25" s="406">
        <f t="shared" si="1"/>
        <v>35.2000176</v>
      </c>
      <c r="M25" s="406">
        <f t="shared" si="1"/>
        <v>35.2000176</v>
      </c>
      <c r="N25" s="406">
        <f t="shared" si="1"/>
        <v>35.2000176</v>
      </c>
      <c r="O25" s="406">
        <f t="shared" si="1"/>
        <v>35.2000176</v>
      </c>
    </row>
    <row r="26" spans="2:15">
      <c r="B26" s="403" t="s">
        <v>61</v>
      </c>
      <c r="C26" s="404" t="s">
        <v>62</v>
      </c>
      <c r="D26" s="406">
        <v>0</v>
      </c>
      <c r="E26" s="406">
        <v>0</v>
      </c>
      <c r="F26" s="406">
        <v>0</v>
      </c>
      <c r="G26" s="406">
        <v>0</v>
      </c>
      <c r="H26" s="406">
        <v>0</v>
      </c>
      <c r="I26" s="406">
        <v>0</v>
      </c>
      <c r="J26" s="406">
        <v>0</v>
      </c>
      <c r="K26" s="406">
        <v>0</v>
      </c>
      <c r="L26" s="406">
        <v>0</v>
      </c>
      <c r="M26" s="406">
        <v>0</v>
      </c>
      <c r="N26" s="406">
        <v>0</v>
      </c>
      <c r="O26" s="407">
        <v>0</v>
      </c>
    </row>
    <row r="27" spans="2:15">
      <c r="B27" s="403" t="s">
        <v>94</v>
      </c>
      <c r="C27" s="404" t="s">
        <v>62</v>
      </c>
      <c r="D27" s="406">
        <f>输入参数!E16</f>
        <v>255</v>
      </c>
      <c r="E27" s="406">
        <f>D27</f>
        <v>255</v>
      </c>
      <c r="F27" s="406">
        <f t="shared" ref="F27:W27" si="2">E27</f>
        <v>255</v>
      </c>
      <c r="G27" s="406">
        <f t="shared" si="2"/>
        <v>255</v>
      </c>
      <c r="H27" s="406">
        <f t="shared" si="2"/>
        <v>255</v>
      </c>
      <c r="I27" s="406">
        <f t="shared" si="2"/>
        <v>255</v>
      </c>
      <c r="J27" s="406">
        <f t="shared" si="2"/>
        <v>255</v>
      </c>
      <c r="K27" s="406">
        <f t="shared" si="2"/>
        <v>255</v>
      </c>
      <c r="L27" s="406">
        <f t="shared" si="2"/>
        <v>255</v>
      </c>
      <c r="M27" s="406">
        <f t="shared" si="2"/>
        <v>255</v>
      </c>
      <c r="N27" s="406">
        <f t="shared" si="2"/>
        <v>255</v>
      </c>
      <c r="O27" s="407">
        <f t="shared" si="2"/>
        <v>255</v>
      </c>
    </row>
    <row r="28" spans="2:15">
      <c r="B28" s="403" t="s">
        <v>95</v>
      </c>
      <c r="C28" s="404" t="s">
        <v>62</v>
      </c>
      <c r="D28" s="406">
        <f>输入参数!E17*输入参数!E18</f>
        <v>20</v>
      </c>
      <c r="E28" s="406">
        <f>D28</f>
        <v>20</v>
      </c>
      <c r="F28" s="406">
        <f t="shared" ref="F28:O28" si="3">E28</f>
        <v>20</v>
      </c>
      <c r="G28" s="406">
        <f t="shared" si="3"/>
        <v>20</v>
      </c>
      <c r="H28" s="406">
        <f t="shared" si="3"/>
        <v>20</v>
      </c>
      <c r="I28" s="406">
        <f t="shared" si="3"/>
        <v>20</v>
      </c>
      <c r="J28" s="406">
        <f t="shared" si="3"/>
        <v>20</v>
      </c>
      <c r="K28" s="406">
        <f t="shared" si="3"/>
        <v>20</v>
      </c>
      <c r="L28" s="406">
        <f t="shared" si="3"/>
        <v>20</v>
      </c>
      <c r="M28" s="406">
        <f t="shared" si="3"/>
        <v>20</v>
      </c>
      <c r="N28" s="406">
        <f t="shared" si="3"/>
        <v>20</v>
      </c>
      <c r="O28" s="407">
        <f t="shared" si="3"/>
        <v>20</v>
      </c>
    </row>
    <row r="29" spans="2:15">
      <c r="B29" s="403" t="s">
        <v>96</v>
      </c>
      <c r="C29" s="404" t="s">
        <v>62</v>
      </c>
      <c r="D29" s="133">
        <v>0.963934426229508</v>
      </c>
      <c r="E29" s="133">
        <v>0.945901639344262</v>
      </c>
      <c r="F29" s="133">
        <v>0.929508196721311</v>
      </c>
      <c r="G29" s="133">
        <v>0.917486338797814</v>
      </c>
      <c r="H29" s="133">
        <v>0.903825136612022</v>
      </c>
      <c r="I29" s="133">
        <v>0.893989071038251</v>
      </c>
      <c r="J29" s="133">
        <v>0.881967213114754</v>
      </c>
      <c r="K29" s="133">
        <v>0.873224043715847</v>
      </c>
      <c r="L29" s="133">
        <v>0.86120218579235</v>
      </c>
      <c r="M29" s="133">
        <v>0.854098360655738</v>
      </c>
      <c r="N29" s="133">
        <v>0.843715846994536</v>
      </c>
      <c r="O29" s="408">
        <v>0.836612021857923</v>
      </c>
    </row>
    <row r="30" spans="2:15">
      <c r="B30" s="403" t="s">
        <v>97</v>
      </c>
      <c r="C30" s="404" t="s">
        <v>62</v>
      </c>
      <c r="D30" s="130">
        <f>D27*D28*D29</f>
        <v>4916.06557377049</v>
      </c>
      <c r="E30" s="130">
        <f t="shared" ref="E30:W30" si="4">E27*E28*E29</f>
        <v>4824.09836065574</v>
      </c>
      <c r="F30" s="130">
        <f t="shared" si="4"/>
        <v>4740.49180327869</v>
      </c>
      <c r="G30" s="130">
        <f t="shared" si="4"/>
        <v>4679.18032786885</v>
      </c>
      <c r="H30" s="130">
        <f t="shared" si="4"/>
        <v>4609.50819672131</v>
      </c>
      <c r="I30" s="130">
        <f t="shared" si="4"/>
        <v>4559.34426229508</v>
      </c>
      <c r="J30" s="130">
        <f t="shared" si="4"/>
        <v>4498.03278688525</v>
      </c>
      <c r="K30" s="130">
        <f t="shared" si="4"/>
        <v>4453.44262295082</v>
      </c>
      <c r="L30" s="130">
        <f t="shared" si="4"/>
        <v>4392.13114754098</v>
      </c>
      <c r="M30" s="130">
        <f t="shared" si="4"/>
        <v>4355.90163934426</v>
      </c>
      <c r="N30" s="130">
        <f t="shared" si="4"/>
        <v>4302.95081967213</v>
      </c>
      <c r="O30" s="409">
        <f t="shared" si="4"/>
        <v>4266.72131147541</v>
      </c>
    </row>
    <row r="31" spans="2:15">
      <c r="B31" s="410" t="s">
        <v>22</v>
      </c>
      <c r="C31" s="404" t="s">
        <v>62</v>
      </c>
      <c r="D31" s="411">
        <f>输入参数!E14</f>
        <v>0.2815</v>
      </c>
      <c r="E31" s="412">
        <f>D31</f>
        <v>0.2815</v>
      </c>
      <c r="F31" s="412">
        <f>E31</f>
        <v>0.2815</v>
      </c>
      <c r="G31" s="412">
        <f>F31</f>
        <v>0.2815</v>
      </c>
      <c r="H31" s="412">
        <f t="shared" ref="H31" si="5">G31</f>
        <v>0.2815</v>
      </c>
      <c r="I31" s="412">
        <f t="shared" ref="I31" si="6">H31</f>
        <v>0.2815</v>
      </c>
      <c r="J31" s="412">
        <f t="shared" ref="J31" si="7">I31</f>
        <v>0.2815</v>
      </c>
      <c r="K31" s="412">
        <f t="shared" ref="K31" si="8">J31</f>
        <v>0.2815</v>
      </c>
      <c r="L31" s="412">
        <f t="shared" ref="L31" si="9">K31</f>
        <v>0.2815</v>
      </c>
      <c r="M31" s="412">
        <f t="shared" ref="M31" si="10">L31</f>
        <v>0.2815</v>
      </c>
      <c r="N31" s="412">
        <f t="shared" ref="N31" si="11">M31</f>
        <v>0.2815</v>
      </c>
      <c r="O31" s="413">
        <f t="shared" ref="O31" si="12">N31</f>
        <v>0.2815</v>
      </c>
    </row>
    <row r="32" ht="15.75" spans="2:15">
      <c r="B32" s="414" t="s">
        <v>98</v>
      </c>
      <c r="C32" s="415" t="s">
        <v>62</v>
      </c>
      <c r="D32" s="416">
        <f>D30*D31</f>
        <v>1383.87245901639</v>
      </c>
      <c r="E32" s="416">
        <f t="shared" ref="E32:W32" si="13">E30*E31</f>
        <v>1357.98368852459</v>
      </c>
      <c r="F32" s="416">
        <f t="shared" si="13"/>
        <v>1334.44844262295</v>
      </c>
      <c r="G32" s="416">
        <f t="shared" si="13"/>
        <v>1317.18926229508</v>
      </c>
      <c r="H32" s="416">
        <f t="shared" si="13"/>
        <v>1297.57655737705</v>
      </c>
      <c r="I32" s="416">
        <f t="shared" si="13"/>
        <v>1283.45540983606</v>
      </c>
      <c r="J32" s="416">
        <f t="shared" si="13"/>
        <v>1266.1962295082</v>
      </c>
      <c r="K32" s="416">
        <f t="shared" si="13"/>
        <v>1253.64409836066</v>
      </c>
      <c r="L32" s="416">
        <f t="shared" si="13"/>
        <v>1236.38491803279</v>
      </c>
      <c r="M32" s="416">
        <f t="shared" si="13"/>
        <v>1226.18631147541</v>
      </c>
      <c r="N32" s="416">
        <f t="shared" si="13"/>
        <v>1211.28065573771</v>
      </c>
      <c r="O32" s="417">
        <f t="shared" si="13"/>
        <v>1201.08204918033</v>
      </c>
    </row>
    <row r="36" spans="4:4">
      <c r="D36" s="418"/>
    </row>
    <row r="37" spans="4:4">
      <c r="D37" s="418"/>
    </row>
  </sheetData>
  <mergeCells count="1">
    <mergeCell ref="D2:O2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9" tint="0.399761955626087"/>
  </sheetPr>
  <dimension ref="A1:AO224"/>
  <sheetViews>
    <sheetView zoomScale="85" zoomScaleNormal="85" topLeftCell="A49" workbookViewId="0">
      <selection activeCell="L7" sqref="L7"/>
    </sheetView>
  </sheetViews>
  <sheetFormatPr defaultColWidth="8.75" defaultRowHeight="15"/>
  <cols>
    <col min="1" max="1" width="36.25" style="332" customWidth="1"/>
    <col min="2" max="2" width="8.75" style="332" customWidth="1"/>
    <col min="3" max="5" width="10.75" style="332" customWidth="1"/>
    <col min="6" max="6" width="13.0833333333333" style="332" customWidth="1"/>
    <col min="7" max="7" width="10.75" style="332" customWidth="1"/>
    <col min="8" max="8" width="8.75" style="332" customWidth="1"/>
    <col min="9" max="13" width="13.25" style="332" customWidth="1"/>
    <col min="14" max="14" width="16.5833333333333" style="332" customWidth="1"/>
    <col min="15" max="17" width="13.25" style="332" customWidth="1"/>
    <col min="18" max="18" width="17" style="332" customWidth="1"/>
    <col min="19" max="16384" width="8.75" style="332"/>
  </cols>
  <sheetData>
    <row r="1" ht="23" spans="1:41">
      <c r="A1" s="333" t="s">
        <v>99</v>
      </c>
      <c r="B1" s="334"/>
      <c r="C1" s="334"/>
      <c r="D1" s="334"/>
      <c r="E1" s="335"/>
      <c r="F1" s="335"/>
      <c r="G1" s="335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O1" s="336"/>
    </row>
    <row r="2" spans="1:41">
      <c r="A2" s="337"/>
      <c r="B2" s="338"/>
      <c r="C2" s="338"/>
      <c r="D2" s="339"/>
      <c r="E2" s="340"/>
      <c r="F2" s="340"/>
      <c r="G2" s="340" t="s">
        <v>100</v>
      </c>
      <c r="H2" s="336"/>
      <c r="I2" s="341" t="s">
        <v>101</v>
      </c>
      <c r="J2" s="342"/>
      <c r="K2" s="342"/>
      <c r="L2" s="342"/>
      <c r="M2" s="343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</row>
    <row r="3" spans="1:41">
      <c r="A3" s="344" t="s">
        <v>102</v>
      </c>
      <c r="B3" s="345"/>
      <c r="C3" s="346"/>
      <c r="D3" s="345" t="s">
        <v>103</v>
      </c>
      <c r="E3" s="346"/>
      <c r="F3" s="340"/>
      <c r="G3" s="340" t="s">
        <v>104</v>
      </c>
      <c r="H3" s="336"/>
      <c r="I3" s="347" t="s">
        <v>105</v>
      </c>
      <c r="J3" s="347"/>
      <c r="K3" s="347"/>
      <c r="L3" s="347"/>
      <c r="M3" s="347"/>
      <c r="N3" s="348"/>
      <c r="O3" s="348"/>
      <c r="P3" s="348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</row>
    <row r="4" spans="1:41">
      <c r="A4" s="349" t="s">
        <v>106</v>
      </c>
      <c r="B4" s="349" t="s">
        <v>107</v>
      </c>
      <c r="C4" s="349" t="s">
        <v>108</v>
      </c>
      <c r="D4" s="349" t="s">
        <v>109</v>
      </c>
      <c r="E4" s="350" t="s">
        <v>110</v>
      </c>
      <c r="F4" s="350" t="s">
        <v>111</v>
      </c>
      <c r="G4" s="350" t="s">
        <v>5</v>
      </c>
      <c r="H4" s="336"/>
      <c r="I4" s="351" t="s">
        <v>112</v>
      </c>
      <c r="J4" s="351" t="s">
        <v>113</v>
      </c>
      <c r="K4" s="351" t="s">
        <v>114</v>
      </c>
      <c r="L4" s="352" t="s">
        <v>115</v>
      </c>
      <c r="M4" s="352" t="s">
        <v>116</v>
      </c>
      <c r="N4" s="348"/>
      <c r="O4" s="348"/>
      <c r="P4" s="348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</row>
    <row r="5" spans="1:41">
      <c r="A5" s="353" t="s">
        <v>117</v>
      </c>
      <c r="B5" s="354" t="s">
        <v>118</v>
      </c>
      <c r="C5" s="355"/>
      <c r="D5" s="356"/>
      <c r="E5" s="357"/>
      <c r="F5" s="357"/>
      <c r="G5" s="356"/>
      <c r="H5" s="336"/>
      <c r="I5" s="358">
        <v>0</v>
      </c>
      <c r="J5" s="358">
        <v>0</v>
      </c>
      <c r="K5" s="358">
        <v>0</v>
      </c>
      <c r="L5" s="359"/>
      <c r="M5" s="360"/>
      <c r="N5" s="348"/>
      <c r="O5" s="348"/>
      <c r="P5" s="348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</row>
    <row r="6" spans="1:41">
      <c r="A6" s="361" t="s">
        <v>119</v>
      </c>
      <c r="B6" s="354" t="s">
        <v>120</v>
      </c>
      <c r="C6" s="355">
        <v>12</v>
      </c>
      <c r="D6" s="356" t="s">
        <v>121</v>
      </c>
      <c r="E6" s="362">
        <v>0.0317</v>
      </c>
      <c r="F6" s="362">
        <v>0.05</v>
      </c>
      <c r="G6" s="356"/>
      <c r="H6" s="336"/>
      <c r="I6" s="358">
        <f>静态总投!E5</f>
        <v>300</v>
      </c>
      <c r="J6" s="358">
        <f>静态总投!E10+静态总投!E11</f>
        <v>360</v>
      </c>
      <c r="K6" s="358">
        <v>0</v>
      </c>
      <c r="L6" s="359">
        <f>(I6+K6)/1.13+J6/1.09</f>
        <v>595.761955021515</v>
      </c>
      <c r="M6" s="363">
        <f>L6*(1-F6)/C6</f>
        <v>47.1644881058699</v>
      </c>
      <c r="N6" s="364" t="s">
        <v>122</v>
      </c>
      <c r="O6" s="348"/>
      <c r="P6" s="348"/>
      <c r="Q6" s="336"/>
      <c r="R6" s="336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</row>
    <row r="7" spans="1:41">
      <c r="A7" s="361" t="s">
        <v>123</v>
      </c>
      <c r="B7" s="354" t="s">
        <v>124</v>
      </c>
      <c r="C7" s="355">
        <v>30</v>
      </c>
      <c r="D7" s="356" t="s">
        <v>121</v>
      </c>
      <c r="E7" s="362">
        <v>0.0317</v>
      </c>
      <c r="F7" s="362">
        <v>0.05</v>
      </c>
      <c r="G7" s="356"/>
      <c r="H7" s="336"/>
      <c r="I7" s="358">
        <v>0</v>
      </c>
      <c r="J7" s="358">
        <v>0</v>
      </c>
      <c r="K7" s="358">
        <v>0</v>
      </c>
      <c r="L7" s="359">
        <f>(I7+K7)/1.13+J7/1.09</f>
        <v>0</v>
      </c>
      <c r="M7" s="363">
        <f>L7*(1-F7)/C7</f>
        <v>0</v>
      </c>
      <c r="N7" s="348"/>
      <c r="O7" s="348"/>
      <c r="P7" s="348"/>
      <c r="Q7" s="336"/>
      <c r="R7" s="336"/>
      <c r="S7" s="336"/>
      <c r="T7" s="336"/>
      <c r="U7" s="336"/>
      <c r="V7" s="336"/>
      <c r="W7" s="336"/>
      <c r="X7" s="336"/>
      <c r="Y7" s="336"/>
      <c r="Z7" s="336"/>
      <c r="AA7" s="336"/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6"/>
      <c r="AM7" s="336"/>
      <c r="AN7" s="336"/>
      <c r="AO7" s="336"/>
    </row>
    <row r="8" spans="1:41">
      <c r="A8" s="353" t="s">
        <v>125</v>
      </c>
      <c r="B8" s="354" t="s">
        <v>126</v>
      </c>
      <c r="C8" s="355"/>
      <c r="D8" s="356"/>
      <c r="E8" s="357"/>
      <c r="F8" s="357"/>
      <c r="G8" s="356"/>
      <c r="H8" s="336"/>
      <c r="I8" s="358">
        <v>0</v>
      </c>
      <c r="J8" s="358">
        <v>0</v>
      </c>
      <c r="K8" s="358">
        <v>0</v>
      </c>
      <c r="L8" s="359"/>
      <c r="M8" s="363"/>
      <c r="N8" s="348"/>
      <c r="O8" s="348"/>
      <c r="P8" s="348"/>
      <c r="Q8" s="336"/>
      <c r="R8" s="336"/>
      <c r="S8" s="336"/>
      <c r="T8" s="336"/>
      <c r="U8" s="336"/>
      <c r="V8" s="336"/>
      <c r="W8" s="336"/>
      <c r="X8" s="336"/>
      <c r="Y8" s="336"/>
      <c r="Z8" s="336"/>
      <c r="AA8" s="336"/>
      <c r="AB8" s="336"/>
      <c r="AC8" s="336"/>
      <c r="AD8" s="336"/>
      <c r="AE8" s="336"/>
      <c r="AF8" s="336"/>
      <c r="AG8" s="336"/>
      <c r="AH8" s="336"/>
      <c r="AI8" s="336"/>
      <c r="AJ8" s="336"/>
      <c r="AK8" s="336"/>
      <c r="AL8" s="336"/>
      <c r="AM8" s="336"/>
      <c r="AN8" s="336"/>
      <c r="AO8" s="336"/>
    </row>
    <row r="9" spans="1:41">
      <c r="A9" s="361" t="s">
        <v>127</v>
      </c>
      <c r="B9" s="354" t="s">
        <v>128</v>
      </c>
      <c r="C9" s="355">
        <v>12</v>
      </c>
      <c r="D9" s="356" t="s">
        <v>121</v>
      </c>
      <c r="E9" s="362">
        <v>0.0528</v>
      </c>
      <c r="F9" s="362">
        <v>0.05</v>
      </c>
      <c r="G9" s="365"/>
      <c r="H9" s="336"/>
      <c r="I9" s="358">
        <f>静态总投!E4</f>
        <v>1800</v>
      </c>
      <c r="J9" s="366">
        <v>0</v>
      </c>
      <c r="K9" s="358">
        <v>0</v>
      </c>
      <c r="L9" s="359">
        <f>(I9+K9)/1.13+J9/1.09</f>
        <v>1592.9203539823</v>
      </c>
      <c r="M9" s="363">
        <f>L9*(1-F9)/C9</f>
        <v>126.106194690265</v>
      </c>
      <c r="N9" s="367" t="s">
        <v>129</v>
      </c>
      <c r="O9" s="348"/>
      <c r="P9" s="348"/>
      <c r="Q9" s="336"/>
      <c r="R9" s="336"/>
      <c r="S9" s="336"/>
      <c r="T9" s="336"/>
      <c r="U9" s="336"/>
      <c r="V9" s="336"/>
      <c r="W9" s="336"/>
      <c r="X9" s="336"/>
      <c r="Y9" s="336"/>
      <c r="Z9" s="336"/>
      <c r="AA9" s="336"/>
      <c r="AB9" s="336"/>
      <c r="AC9" s="336"/>
      <c r="AD9" s="336"/>
      <c r="AE9" s="336"/>
      <c r="AF9" s="336"/>
      <c r="AG9" s="336"/>
      <c r="AH9" s="336"/>
      <c r="AI9" s="336"/>
      <c r="AJ9" s="336"/>
      <c r="AK9" s="336"/>
      <c r="AL9" s="336"/>
      <c r="AM9" s="336"/>
      <c r="AN9" s="336"/>
      <c r="AO9" s="336"/>
    </row>
    <row r="10" spans="1:41">
      <c r="A10" s="361" t="s">
        <v>130</v>
      </c>
      <c r="B10" s="354" t="s">
        <v>131</v>
      </c>
      <c r="C10" s="355"/>
      <c r="D10" s="356"/>
      <c r="E10" s="362"/>
      <c r="F10" s="362"/>
      <c r="G10" s="365"/>
      <c r="H10" s="336"/>
      <c r="I10" s="358">
        <v>0</v>
      </c>
      <c r="J10" s="358">
        <v>0</v>
      </c>
      <c r="K10" s="358">
        <v>0</v>
      </c>
      <c r="L10" s="359"/>
      <c r="M10" s="363"/>
      <c r="N10" s="348"/>
      <c r="O10" s="348"/>
      <c r="P10" s="348"/>
      <c r="Q10" s="336"/>
      <c r="R10" s="336"/>
      <c r="S10" s="336"/>
      <c r="T10" s="336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6"/>
      <c r="AL10" s="336"/>
      <c r="AM10" s="336"/>
      <c r="AN10" s="336"/>
      <c r="AO10" s="336"/>
    </row>
    <row r="11" spans="1:41">
      <c r="A11" s="361" t="s">
        <v>132</v>
      </c>
      <c r="B11" s="354" t="s">
        <v>133</v>
      </c>
      <c r="C11" s="355">
        <v>10</v>
      </c>
      <c r="D11" s="356" t="s">
        <v>121</v>
      </c>
      <c r="E11" s="362">
        <v>0.0528</v>
      </c>
      <c r="F11" s="362">
        <v>0.05</v>
      </c>
      <c r="G11" s="365"/>
      <c r="H11" s="336"/>
      <c r="I11" s="358">
        <v>0</v>
      </c>
      <c r="J11" s="358">
        <v>0</v>
      </c>
      <c r="K11" s="358">
        <v>0</v>
      </c>
      <c r="L11" s="359">
        <f>(I11+K11)/1.13+J11/1.09</f>
        <v>0</v>
      </c>
      <c r="M11" s="363">
        <f>L11*(1-F11)/C11</f>
        <v>0</v>
      </c>
      <c r="N11" s="348"/>
      <c r="O11" s="348"/>
      <c r="P11" s="348"/>
      <c r="Q11" s="336"/>
      <c r="R11" s="336"/>
      <c r="S11" s="336"/>
      <c r="T11" s="336"/>
      <c r="U11" s="336"/>
      <c r="V11" s="336"/>
      <c r="W11" s="336"/>
      <c r="X11" s="336"/>
      <c r="Y11" s="336"/>
      <c r="Z11" s="336"/>
      <c r="AA11" s="336"/>
      <c r="AB11" s="336"/>
      <c r="AC11" s="336"/>
      <c r="AD11" s="336"/>
      <c r="AE11" s="336"/>
      <c r="AF11" s="336"/>
      <c r="AG11" s="336"/>
      <c r="AH11" s="336"/>
      <c r="AI11" s="336"/>
      <c r="AJ11" s="336"/>
      <c r="AK11" s="336"/>
      <c r="AL11" s="336"/>
      <c r="AM11" s="336"/>
      <c r="AN11" s="336"/>
      <c r="AO11" s="336"/>
    </row>
    <row r="12" spans="1:41">
      <c r="A12" s="361" t="s">
        <v>134</v>
      </c>
      <c r="B12" s="354" t="s">
        <v>135</v>
      </c>
      <c r="C12" s="355">
        <v>10</v>
      </c>
      <c r="D12" s="356" t="s">
        <v>121</v>
      </c>
      <c r="E12" s="362">
        <v>0.0528</v>
      </c>
      <c r="F12" s="362">
        <v>0.05</v>
      </c>
      <c r="G12" s="365"/>
      <c r="H12" s="336"/>
      <c r="I12" s="358">
        <v>0</v>
      </c>
      <c r="J12" s="358">
        <v>0</v>
      </c>
      <c r="K12" s="358">
        <v>0</v>
      </c>
      <c r="L12" s="359">
        <f>(I12+K12)/1.13+J12/1.09</f>
        <v>0</v>
      </c>
      <c r="M12" s="363">
        <f>L12*(1-F12)/C12</f>
        <v>0</v>
      </c>
      <c r="N12" s="348"/>
      <c r="O12" s="348"/>
      <c r="P12" s="348"/>
      <c r="Q12" s="336"/>
      <c r="R12" s="336"/>
      <c r="S12" s="336"/>
      <c r="T12" s="336"/>
      <c r="U12" s="336"/>
      <c r="V12" s="336"/>
      <c r="W12" s="336"/>
      <c r="X12" s="336"/>
      <c r="Y12" s="336"/>
      <c r="Z12" s="336"/>
      <c r="AA12" s="336"/>
      <c r="AB12" s="336"/>
      <c r="AC12" s="336"/>
      <c r="AD12" s="336"/>
      <c r="AE12" s="336"/>
      <c r="AF12" s="336"/>
      <c r="AG12" s="336"/>
      <c r="AH12" s="336"/>
      <c r="AI12" s="336"/>
      <c r="AJ12" s="336"/>
      <c r="AK12" s="336"/>
      <c r="AL12" s="336"/>
      <c r="AM12" s="336"/>
      <c r="AN12" s="336"/>
      <c r="AO12" s="336"/>
    </row>
    <row r="13" spans="1:41">
      <c r="A13" s="361" t="s">
        <v>136</v>
      </c>
      <c r="B13" s="354" t="s">
        <v>137</v>
      </c>
      <c r="C13" s="355">
        <v>18</v>
      </c>
      <c r="D13" s="356" t="s">
        <v>121</v>
      </c>
      <c r="E13" s="362">
        <v>0.0528</v>
      </c>
      <c r="F13" s="362">
        <v>0.05</v>
      </c>
      <c r="G13" s="365"/>
      <c r="H13" s="336"/>
      <c r="I13" s="358">
        <v>0</v>
      </c>
      <c r="J13" s="358">
        <v>0</v>
      </c>
      <c r="K13" s="358">
        <v>0</v>
      </c>
      <c r="L13" s="359">
        <f>(I13+K13)/1.13+J13/1.09</f>
        <v>0</v>
      </c>
      <c r="M13" s="363">
        <f>L13*(1-F13)/C13</f>
        <v>0</v>
      </c>
      <c r="N13" s="348"/>
      <c r="O13" s="348"/>
      <c r="P13" s="348"/>
      <c r="Q13" s="336"/>
      <c r="R13" s="336"/>
      <c r="S13" s="336"/>
      <c r="T13" s="336"/>
      <c r="U13" s="336"/>
      <c r="V13" s="336"/>
      <c r="W13" s="336"/>
      <c r="X13" s="336"/>
      <c r="Y13" s="336"/>
      <c r="Z13" s="336"/>
      <c r="AA13" s="336"/>
      <c r="AB13" s="336"/>
      <c r="AC13" s="336"/>
      <c r="AD13" s="336"/>
      <c r="AE13" s="336"/>
      <c r="AF13" s="336"/>
      <c r="AG13" s="336"/>
      <c r="AH13" s="336"/>
      <c r="AI13" s="336"/>
      <c r="AJ13" s="336"/>
      <c r="AK13" s="336"/>
      <c r="AL13" s="336"/>
      <c r="AM13" s="336"/>
      <c r="AN13" s="336"/>
      <c r="AO13" s="336"/>
    </row>
    <row r="14" spans="1:41">
      <c r="A14" s="361" t="s">
        <v>138</v>
      </c>
      <c r="B14" s="354" t="s">
        <v>139</v>
      </c>
      <c r="C14" s="355">
        <v>20</v>
      </c>
      <c r="D14" s="356" t="s">
        <v>121</v>
      </c>
      <c r="E14" s="362">
        <v>0.0528</v>
      </c>
      <c r="F14" s="362">
        <v>0.05</v>
      </c>
      <c r="G14" s="365"/>
      <c r="H14" s="336"/>
      <c r="I14" s="358">
        <v>0</v>
      </c>
      <c r="J14" s="358">
        <v>0</v>
      </c>
      <c r="K14" s="358">
        <v>0</v>
      </c>
      <c r="L14" s="359">
        <f>(I14+K14)/1.13+J14/1.09</f>
        <v>0</v>
      </c>
      <c r="M14" s="363">
        <f>L14*(1-F14)/C14</f>
        <v>0</v>
      </c>
      <c r="N14" s="2"/>
      <c r="O14" s="348"/>
      <c r="P14" s="348"/>
      <c r="Q14" s="336"/>
      <c r="R14" s="336"/>
      <c r="S14" s="336"/>
      <c r="T14" s="336"/>
      <c r="U14" s="336"/>
      <c r="V14" s="336"/>
      <c r="W14" s="336"/>
      <c r="X14" s="336"/>
      <c r="Y14" s="336"/>
      <c r="Z14" s="336"/>
      <c r="AA14" s="336"/>
      <c r="AB14" s="336"/>
      <c r="AC14" s="336"/>
      <c r="AD14" s="336"/>
      <c r="AE14" s="336"/>
      <c r="AF14" s="336"/>
      <c r="AG14" s="336"/>
      <c r="AH14" s="336"/>
      <c r="AI14" s="336"/>
      <c r="AJ14" s="336"/>
      <c r="AK14" s="336"/>
      <c r="AL14" s="336"/>
      <c r="AM14" s="336"/>
      <c r="AN14" s="336"/>
      <c r="AO14" s="336"/>
    </row>
    <row r="15" spans="1:41">
      <c r="A15" s="361" t="s">
        <v>140</v>
      </c>
      <c r="B15" s="354" t="s">
        <v>141</v>
      </c>
      <c r="C15" s="355"/>
      <c r="D15" s="356"/>
      <c r="E15" s="362"/>
      <c r="F15" s="362"/>
      <c r="G15" s="365"/>
      <c r="H15" s="336"/>
      <c r="I15" s="358">
        <v>0</v>
      </c>
      <c r="J15" s="358">
        <v>0</v>
      </c>
      <c r="K15" s="358">
        <v>0</v>
      </c>
      <c r="L15" s="359"/>
      <c r="M15" s="363"/>
      <c r="N15" s="348"/>
      <c r="O15" s="348"/>
      <c r="P15" s="348"/>
      <c r="Q15" s="336"/>
      <c r="R15" s="336"/>
      <c r="S15" s="336"/>
      <c r="T15" s="336"/>
      <c r="U15" s="336"/>
      <c r="V15" s="336"/>
      <c r="W15" s="336"/>
      <c r="X15" s="336"/>
      <c r="Y15" s="336"/>
      <c r="Z15" s="336"/>
      <c r="AA15" s="336"/>
      <c r="AB15" s="336"/>
      <c r="AC15" s="336"/>
      <c r="AD15" s="336"/>
      <c r="AE15" s="336"/>
      <c r="AF15" s="336"/>
      <c r="AG15" s="336"/>
      <c r="AH15" s="336"/>
      <c r="AI15" s="336"/>
      <c r="AJ15" s="336"/>
      <c r="AK15" s="336"/>
      <c r="AL15" s="336"/>
      <c r="AM15" s="336"/>
      <c r="AN15" s="336"/>
      <c r="AO15" s="336"/>
    </row>
    <row r="16" spans="1:41">
      <c r="A16" s="353" t="s">
        <v>142</v>
      </c>
      <c r="B16" s="354" t="s">
        <v>143</v>
      </c>
      <c r="C16" s="355"/>
      <c r="D16" s="356"/>
      <c r="E16" s="357"/>
      <c r="F16" s="357"/>
      <c r="G16" s="365"/>
      <c r="H16" s="336"/>
      <c r="I16" s="358">
        <v>0</v>
      </c>
      <c r="J16" s="358">
        <v>0</v>
      </c>
      <c r="K16" s="358">
        <v>0</v>
      </c>
      <c r="L16" s="359"/>
      <c r="M16" s="363"/>
      <c r="N16" s="348"/>
      <c r="O16" s="348"/>
      <c r="P16" s="348"/>
      <c r="Q16" s="336"/>
      <c r="R16" s="336"/>
      <c r="S16" s="336"/>
      <c r="T16" s="336"/>
      <c r="U16" s="336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6"/>
      <c r="AG16" s="336"/>
      <c r="AH16" s="336"/>
      <c r="AI16" s="336"/>
      <c r="AJ16" s="336"/>
      <c r="AK16" s="336"/>
      <c r="AL16" s="336"/>
      <c r="AM16" s="336"/>
      <c r="AN16" s="336"/>
      <c r="AO16" s="336"/>
    </row>
    <row r="17" spans="1:41">
      <c r="A17" s="361" t="s">
        <v>144</v>
      </c>
      <c r="B17" s="354" t="s">
        <v>145</v>
      </c>
      <c r="C17" s="355">
        <v>10</v>
      </c>
      <c r="D17" s="356" t="s">
        <v>121</v>
      </c>
      <c r="E17" s="362">
        <v>0.0792</v>
      </c>
      <c r="F17" s="362">
        <v>0.05</v>
      </c>
      <c r="G17" s="365"/>
      <c r="H17" s="336"/>
      <c r="I17" s="358">
        <v>0</v>
      </c>
      <c r="J17" s="358">
        <v>0</v>
      </c>
      <c r="K17" s="358">
        <v>0</v>
      </c>
      <c r="L17" s="359">
        <f>(I17+K17)/1.13+J17/1.09</f>
        <v>0</v>
      </c>
      <c r="M17" s="363">
        <f>L17*(1-F17)/C17</f>
        <v>0</v>
      </c>
      <c r="N17" s="368"/>
      <c r="O17" s="348"/>
      <c r="P17" s="348"/>
      <c r="Q17" s="336"/>
      <c r="R17" s="336"/>
      <c r="S17" s="336"/>
      <c r="T17" s="336"/>
      <c r="U17" s="336"/>
      <c r="V17" s="336"/>
      <c r="W17" s="336"/>
      <c r="X17" s="336"/>
      <c r="Y17" s="336"/>
      <c r="Z17" s="336"/>
      <c r="AA17" s="336"/>
      <c r="AB17" s="336"/>
      <c r="AC17" s="336"/>
      <c r="AD17" s="336"/>
      <c r="AE17" s="336"/>
      <c r="AF17" s="336"/>
      <c r="AG17" s="336"/>
      <c r="AH17" s="336"/>
      <c r="AI17" s="336"/>
      <c r="AJ17" s="336"/>
      <c r="AK17" s="336"/>
      <c r="AL17" s="336"/>
      <c r="AM17" s="336"/>
      <c r="AN17" s="336"/>
      <c r="AO17" s="336"/>
    </row>
    <row r="18" spans="1:41">
      <c r="A18" s="369" t="s">
        <v>146</v>
      </c>
      <c r="B18" s="354" t="s">
        <v>147</v>
      </c>
      <c r="C18" s="355">
        <v>12</v>
      </c>
      <c r="D18" s="356" t="s">
        <v>121</v>
      </c>
      <c r="E18" s="362">
        <v>0.0792</v>
      </c>
      <c r="F18" s="362">
        <v>0.05</v>
      </c>
      <c r="G18" s="365"/>
      <c r="H18" s="336"/>
      <c r="I18" s="358">
        <v>0</v>
      </c>
      <c r="J18" s="358">
        <v>0</v>
      </c>
      <c r="K18" s="358">
        <v>0</v>
      </c>
      <c r="L18" s="359">
        <f>(I18+K18)/1.13+J18/1.09</f>
        <v>0</v>
      </c>
      <c r="M18" s="363">
        <f>L18*(1-F18)/C18</f>
        <v>0</v>
      </c>
      <c r="N18" s="348"/>
      <c r="O18" s="348"/>
      <c r="P18" s="348"/>
      <c r="Q18" s="336"/>
      <c r="R18" s="336"/>
      <c r="S18" s="336"/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336"/>
    </row>
    <row r="19" spans="1:41">
      <c r="A19" s="369" t="s">
        <v>148</v>
      </c>
      <c r="B19" s="354" t="s">
        <v>149</v>
      </c>
      <c r="C19" s="355"/>
      <c r="D19" s="356"/>
      <c r="E19" s="362"/>
      <c r="F19" s="362"/>
      <c r="G19" s="365"/>
      <c r="H19" s="336"/>
      <c r="I19" s="358">
        <v>0</v>
      </c>
      <c r="J19" s="358">
        <v>0</v>
      </c>
      <c r="K19" s="358">
        <v>0</v>
      </c>
      <c r="L19" s="359"/>
      <c r="M19" s="363"/>
      <c r="N19" s="348"/>
      <c r="O19" s="348"/>
      <c r="P19" s="348"/>
      <c r="Q19" s="336"/>
      <c r="R19" s="336"/>
      <c r="S19" s="336"/>
      <c r="T19" s="336"/>
      <c r="U19" s="336"/>
      <c r="V19" s="336"/>
      <c r="W19" s="336"/>
      <c r="X19" s="336"/>
      <c r="Y19" s="336"/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6"/>
      <c r="AL19" s="336"/>
      <c r="AM19" s="336"/>
      <c r="AN19" s="336"/>
      <c r="AO19" s="336"/>
    </row>
    <row r="20" spans="1:41">
      <c r="A20" s="369" t="s">
        <v>150</v>
      </c>
      <c r="B20" s="354" t="s">
        <v>151</v>
      </c>
      <c r="C20" s="355"/>
      <c r="D20" s="356"/>
      <c r="E20" s="362"/>
      <c r="F20" s="362"/>
      <c r="G20" s="365"/>
      <c r="H20" s="336"/>
      <c r="I20" s="358">
        <v>0</v>
      </c>
      <c r="J20" s="358">
        <v>0</v>
      </c>
      <c r="K20" s="358">
        <v>0</v>
      </c>
      <c r="L20" s="359"/>
      <c r="M20" s="363"/>
      <c r="N20" s="348"/>
      <c r="O20" s="348"/>
      <c r="P20" s="348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</row>
    <row r="21" spans="1:41">
      <c r="A21" s="370" t="s">
        <v>152</v>
      </c>
      <c r="B21" s="354" t="s">
        <v>153</v>
      </c>
      <c r="C21" s="355">
        <v>7</v>
      </c>
      <c r="D21" s="356" t="s">
        <v>121</v>
      </c>
      <c r="E21" s="362">
        <v>0.1357</v>
      </c>
      <c r="F21" s="362">
        <v>0.05</v>
      </c>
      <c r="G21" s="365"/>
      <c r="H21" s="336"/>
      <c r="I21" s="358">
        <v>0</v>
      </c>
      <c r="J21" s="358">
        <v>0</v>
      </c>
      <c r="K21" s="358">
        <v>0</v>
      </c>
      <c r="L21" s="359">
        <f>(I21+K21)/1.13+J21/1.09</f>
        <v>0</v>
      </c>
      <c r="M21" s="363">
        <f>L21*(1-F21)/C21</f>
        <v>0</v>
      </c>
      <c r="N21" s="348"/>
      <c r="O21" s="348"/>
      <c r="P21" s="348"/>
      <c r="Q21" s="336"/>
      <c r="R21" s="336"/>
      <c r="S21" s="336"/>
      <c r="T21" s="336"/>
      <c r="U21" s="336"/>
      <c r="V21" s="336"/>
      <c r="W21" s="336"/>
      <c r="X21" s="336"/>
      <c r="Y21" s="336"/>
      <c r="Z21" s="336"/>
      <c r="AA21" s="336"/>
      <c r="AB21" s="336"/>
      <c r="AC21" s="336"/>
      <c r="AD21" s="336"/>
      <c r="AE21" s="336"/>
      <c r="AF21" s="336"/>
      <c r="AG21" s="336"/>
      <c r="AH21" s="336"/>
      <c r="AI21" s="336"/>
      <c r="AJ21" s="336"/>
      <c r="AK21" s="336"/>
      <c r="AL21" s="336"/>
      <c r="AM21" s="336"/>
      <c r="AN21" s="336"/>
      <c r="AO21" s="336"/>
    </row>
    <row r="22" spans="1:41">
      <c r="A22" s="370" t="s">
        <v>154</v>
      </c>
      <c r="B22" s="354" t="s">
        <v>155</v>
      </c>
      <c r="C22" s="355"/>
      <c r="D22" s="356"/>
      <c r="E22" s="357"/>
      <c r="F22" s="357"/>
      <c r="G22" s="365"/>
      <c r="H22" s="336"/>
      <c r="I22" s="358">
        <v>0</v>
      </c>
      <c r="J22" s="358">
        <v>0</v>
      </c>
      <c r="K22" s="358">
        <v>0</v>
      </c>
      <c r="L22" s="359"/>
      <c r="M22" s="363"/>
      <c r="N22" s="348"/>
      <c r="O22" s="348"/>
      <c r="P22" s="348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336"/>
      <c r="AI22" s="336"/>
      <c r="AJ22" s="336"/>
      <c r="AK22" s="336"/>
      <c r="AL22" s="336"/>
      <c r="AM22" s="336"/>
      <c r="AN22" s="336"/>
      <c r="AO22" s="336"/>
    </row>
    <row r="23" spans="1:41">
      <c r="A23" s="369" t="s">
        <v>156</v>
      </c>
      <c r="B23" s="354" t="s">
        <v>157</v>
      </c>
      <c r="C23" s="355">
        <v>10</v>
      </c>
      <c r="D23" s="356" t="s">
        <v>121</v>
      </c>
      <c r="E23" s="362">
        <v>0.095</v>
      </c>
      <c r="F23" s="362">
        <v>0.05</v>
      </c>
      <c r="G23" s="365"/>
      <c r="H23" s="336"/>
      <c r="I23" s="358">
        <v>0</v>
      </c>
      <c r="J23" s="358">
        <v>0</v>
      </c>
      <c r="K23" s="358">
        <v>0</v>
      </c>
      <c r="L23" s="359">
        <f>(I23+K23)/1.13+J23/1.09</f>
        <v>0</v>
      </c>
      <c r="M23" s="363">
        <f>L23*(1-F23)/C23</f>
        <v>0</v>
      </c>
      <c r="N23" s="348"/>
      <c r="O23" s="348"/>
      <c r="P23" s="348"/>
      <c r="Q23" s="336"/>
      <c r="R23" s="336"/>
      <c r="S23" s="336"/>
      <c r="T23" s="336"/>
      <c r="U23" s="336"/>
      <c r="V23" s="336"/>
      <c r="W23" s="336"/>
      <c r="X23" s="336"/>
      <c r="Y23" s="336"/>
      <c r="Z23" s="336"/>
      <c r="AA23" s="336"/>
      <c r="AB23" s="336"/>
      <c r="AC23" s="336"/>
      <c r="AD23" s="336"/>
      <c r="AE23" s="336"/>
      <c r="AF23" s="336"/>
      <c r="AG23" s="336"/>
      <c r="AH23" s="336"/>
      <c r="AI23" s="336"/>
      <c r="AJ23" s="336"/>
      <c r="AK23" s="336"/>
      <c r="AL23" s="336"/>
      <c r="AM23" s="336"/>
      <c r="AN23" s="336"/>
      <c r="AO23" s="336"/>
    </row>
    <row r="24" spans="1:41">
      <c r="A24" s="369" t="s">
        <v>158</v>
      </c>
      <c r="B24" s="354" t="s">
        <v>159</v>
      </c>
      <c r="C24" s="355">
        <v>10</v>
      </c>
      <c r="D24" s="356" t="s">
        <v>121</v>
      </c>
      <c r="E24" s="362">
        <v>0.095</v>
      </c>
      <c r="F24" s="362">
        <v>0.05</v>
      </c>
      <c r="G24" s="365"/>
      <c r="H24" s="336"/>
      <c r="I24" s="358">
        <v>0</v>
      </c>
      <c r="J24" s="358">
        <v>0</v>
      </c>
      <c r="K24" s="358">
        <v>0</v>
      </c>
      <c r="L24" s="359">
        <f>(I24+K24)/1.13+J24/1.09</f>
        <v>0</v>
      </c>
      <c r="M24" s="363">
        <f>L24*(1-F24)/C24</f>
        <v>0</v>
      </c>
      <c r="N24" s="348"/>
      <c r="O24" s="348"/>
      <c r="P24" s="348"/>
      <c r="Q24" s="336"/>
      <c r="R24" s="336"/>
      <c r="S24" s="336"/>
      <c r="T24" s="336"/>
      <c r="U24" s="336"/>
      <c r="V24" s="336"/>
      <c r="W24" s="336"/>
      <c r="X24" s="336"/>
      <c r="Y24" s="336"/>
      <c r="Z24" s="336"/>
      <c r="AA24" s="336"/>
      <c r="AB24" s="336"/>
      <c r="AC24" s="336"/>
      <c r="AD24" s="336"/>
      <c r="AE24" s="336"/>
      <c r="AF24" s="336"/>
      <c r="AG24" s="336"/>
      <c r="AH24" s="336"/>
      <c r="AI24" s="336"/>
      <c r="AJ24" s="336"/>
      <c r="AK24" s="336"/>
      <c r="AL24" s="336"/>
      <c r="AM24" s="336"/>
      <c r="AN24" s="336"/>
      <c r="AO24" s="336"/>
    </row>
    <row r="25" spans="1:41">
      <c r="A25" s="371" t="s">
        <v>160</v>
      </c>
      <c r="B25" s="354" t="s">
        <v>161</v>
      </c>
      <c r="C25" s="355"/>
      <c r="D25" s="356"/>
      <c r="E25" s="357"/>
      <c r="F25" s="357"/>
      <c r="G25" s="365"/>
      <c r="H25" s="336"/>
      <c r="I25" s="358">
        <v>0</v>
      </c>
      <c r="J25" s="358">
        <v>0</v>
      </c>
      <c r="K25" s="358">
        <v>0</v>
      </c>
      <c r="L25" s="359"/>
      <c r="M25" s="363"/>
      <c r="N25" s="348"/>
      <c r="O25" s="348"/>
      <c r="P25" s="348"/>
      <c r="Q25" s="336"/>
      <c r="R25" s="336"/>
      <c r="S25" s="336"/>
      <c r="T25" s="336"/>
      <c r="U25" s="336"/>
      <c r="V25" s="336"/>
      <c r="W25" s="336"/>
      <c r="X25" s="336"/>
      <c r="Y25" s="336"/>
      <c r="Z25" s="336"/>
      <c r="AA25" s="336"/>
      <c r="AB25" s="336"/>
      <c r="AC25" s="336"/>
      <c r="AD25" s="336"/>
      <c r="AE25" s="336"/>
      <c r="AF25" s="336"/>
      <c r="AG25" s="336"/>
      <c r="AH25" s="336"/>
      <c r="AI25" s="336"/>
      <c r="AJ25" s="336"/>
      <c r="AK25" s="336"/>
      <c r="AL25" s="336"/>
      <c r="AM25" s="336"/>
      <c r="AN25" s="336"/>
      <c r="AO25" s="336"/>
    </row>
    <row r="26" spans="1:41">
      <c r="A26" s="369" t="s">
        <v>162</v>
      </c>
      <c r="B26" s="354" t="s">
        <v>163</v>
      </c>
      <c r="C26" s="355">
        <v>8</v>
      </c>
      <c r="D26" s="356" t="s">
        <v>121</v>
      </c>
      <c r="E26" s="362">
        <v>0.1188</v>
      </c>
      <c r="F26" s="362">
        <v>0.05</v>
      </c>
      <c r="G26" s="365"/>
      <c r="H26" s="336"/>
      <c r="I26" s="358">
        <v>0</v>
      </c>
      <c r="J26" s="358">
        <v>0</v>
      </c>
      <c r="K26" s="358">
        <v>0</v>
      </c>
      <c r="L26" s="359">
        <f>(I26+K26)/1.13+J26/1.09</f>
        <v>0</v>
      </c>
      <c r="M26" s="363">
        <f>L26*(1-F26)/C26</f>
        <v>0</v>
      </c>
      <c r="N26" s="348"/>
      <c r="O26" s="348"/>
      <c r="P26" s="348"/>
      <c r="Q26" s="336"/>
      <c r="R26" s="336"/>
      <c r="S26" s="336"/>
      <c r="T26" s="336"/>
      <c r="U26" s="336"/>
      <c r="V26" s="336"/>
      <c r="W26" s="336"/>
      <c r="X26" s="336"/>
      <c r="Y26" s="336"/>
      <c r="Z26" s="336"/>
      <c r="AA26" s="336"/>
      <c r="AB26" s="336"/>
      <c r="AC26" s="336"/>
      <c r="AD26" s="336"/>
      <c r="AE26" s="336"/>
      <c r="AF26" s="336"/>
      <c r="AG26" s="336"/>
      <c r="AH26" s="336"/>
      <c r="AI26" s="336"/>
      <c r="AJ26" s="336"/>
      <c r="AK26" s="336"/>
      <c r="AL26" s="336"/>
      <c r="AM26" s="336"/>
      <c r="AN26" s="336"/>
      <c r="AO26" s="336"/>
    </row>
    <row r="27" spans="1:41">
      <c r="A27" s="369" t="s">
        <v>164</v>
      </c>
      <c r="B27" s="354" t="s">
        <v>165</v>
      </c>
      <c r="C27" s="355">
        <v>8</v>
      </c>
      <c r="D27" s="356" t="s">
        <v>121</v>
      </c>
      <c r="E27" s="362">
        <v>0.1188</v>
      </c>
      <c r="F27" s="362">
        <v>0.05</v>
      </c>
      <c r="G27" s="365"/>
      <c r="H27" s="336"/>
      <c r="I27" s="358">
        <v>0</v>
      </c>
      <c r="J27" s="358">
        <v>0</v>
      </c>
      <c r="K27" s="358">
        <v>0</v>
      </c>
      <c r="L27" s="359">
        <f>(I27+K27)/1.13+J27/1.09</f>
        <v>0</v>
      </c>
      <c r="M27" s="363">
        <f>L27*(1-F27)/C27</f>
        <v>0</v>
      </c>
      <c r="N27" s="348"/>
      <c r="O27" s="348"/>
      <c r="P27" s="348"/>
      <c r="Q27" s="336"/>
      <c r="R27" s="336"/>
      <c r="S27" s="336"/>
      <c r="T27" s="336"/>
      <c r="U27" s="336"/>
      <c r="V27" s="336"/>
      <c r="W27" s="336"/>
      <c r="X27" s="336"/>
      <c r="Y27" s="336"/>
      <c r="Z27" s="336"/>
      <c r="AA27" s="336"/>
      <c r="AB27" s="336"/>
      <c r="AC27" s="336"/>
      <c r="AD27" s="336"/>
      <c r="AE27" s="336"/>
      <c r="AF27" s="336"/>
      <c r="AG27" s="336"/>
      <c r="AH27" s="336"/>
      <c r="AI27" s="336"/>
      <c r="AJ27" s="336"/>
      <c r="AK27" s="336"/>
      <c r="AL27" s="336"/>
      <c r="AM27" s="336"/>
      <c r="AN27" s="336"/>
      <c r="AO27" s="336"/>
    </row>
    <row r="28" spans="1:41">
      <c r="A28" s="369" t="s">
        <v>166</v>
      </c>
      <c r="B28" s="354" t="s">
        <v>167</v>
      </c>
      <c r="C28" s="355">
        <v>8</v>
      </c>
      <c r="D28" s="356" t="s">
        <v>121</v>
      </c>
      <c r="E28" s="362">
        <v>0.1188</v>
      </c>
      <c r="F28" s="362">
        <v>0.05</v>
      </c>
      <c r="G28" s="356"/>
      <c r="H28" s="336"/>
      <c r="I28" s="358">
        <v>0</v>
      </c>
      <c r="J28" s="358">
        <v>0</v>
      </c>
      <c r="K28" s="358">
        <v>0</v>
      </c>
      <c r="L28" s="359">
        <f>(I28+K28)/1.13+J28/1.09</f>
        <v>0</v>
      </c>
      <c r="M28" s="363">
        <f>L28*(1-F28)/C28</f>
        <v>0</v>
      </c>
      <c r="N28" s="348"/>
      <c r="O28" s="348"/>
      <c r="P28" s="348"/>
      <c r="Q28" s="336"/>
      <c r="R28" s="336"/>
      <c r="S28" s="336"/>
      <c r="T28" s="336"/>
      <c r="U28" s="336"/>
      <c r="V28" s="336"/>
      <c r="W28" s="336"/>
      <c r="X28" s="336"/>
      <c r="Y28" s="336"/>
      <c r="Z28" s="336"/>
      <c r="AA28" s="336"/>
      <c r="AB28" s="336"/>
      <c r="AC28" s="336"/>
      <c r="AD28" s="336"/>
      <c r="AE28" s="336"/>
      <c r="AF28" s="336"/>
      <c r="AG28" s="336"/>
      <c r="AH28" s="336"/>
      <c r="AI28" s="336"/>
      <c r="AJ28" s="336"/>
      <c r="AK28" s="336"/>
      <c r="AL28" s="336"/>
      <c r="AM28" s="336"/>
      <c r="AN28" s="336"/>
      <c r="AO28" s="336"/>
    </row>
    <row r="29" spans="1:41">
      <c r="A29" s="369" t="s">
        <v>168</v>
      </c>
      <c r="B29" s="354" t="s">
        <v>169</v>
      </c>
      <c r="C29" s="355">
        <v>5</v>
      </c>
      <c r="D29" s="356" t="s">
        <v>121</v>
      </c>
      <c r="E29" s="362">
        <v>0.19</v>
      </c>
      <c r="F29" s="362">
        <v>0.05</v>
      </c>
      <c r="G29" s="356"/>
      <c r="H29" s="336"/>
      <c r="I29" s="358">
        <v>0</v>
      </c>
      <c r="J29" s="358">
        <v>0</v>
      </c>
      <c r="K29" s="358">
        <v>0</v>
      </c>
      <c r="L29" s="359">
        <f>(I29+K29)/1.13+J29/1.09</f>
        <v>0</v>
      </c>
      <c r="M29" s="363">
        <f>L29*(1-F29)/C29</f>
        <v>0</v>
      </c>
      <c r="N29" s="348"/>
      <c r="O29" s="348"/>
      <c r="P29" s="348"/>
      <c r="Q29" s="336"/>
      <c r="R29" s="336"/>
      <c r="S29" s="336"/>
      <c r="T29" s="336"/>
      <c r="U29" s="336"/>
      <c r="V29" s="336"/>
      <c r="W29" s="336"/>
      <c r="X29" s="336"/>
      <c r="Y29" s="336"/>
      <c r="Z29" s="336"/>
      <c r="AA29" s="336"/>
      <c r="AB29" s="336"/>
      <c r="AC29" s="336"/>
      <c r="AD29" s="336"/>
      <c r="AE29" s="336"/>
      <c r="AF29" s="336"/>
      <c r="AG29" s="336"/>
      <c r="AH29" s="336"/>
      <c r="AI29" s="336"/>
      <c r="AJ29" s="336"/>
      <c r="AK29" s="336"/>
      <c r="AL29" s="336"/>
      <c r="AM29" s="336"/>
      <c r="AN29" s="336"/>
      <c r="AO29" s="336"/>
    </row>
    <row r="30" spans="1:41">
      <c r="A30" s="369" t="s">
        <v>170</v>
      </c>
      <c r="B30" s="354" t="s">
        <v>171</v>
      </c>
      <c r="C30" s="355">
        <v>7</v>
      </c>
      <c r="D30" s="356" t="s">
        <v>121</v>
      </c>
      <c r="E30" s="362">
        <v>0.1375</v>
      </c>
      <c r="F30" s="362">
        <v>0.05</v>
      </c>
      <c r="G30" s="356"/>
      <c r="H30" s="336"/>
      <c r="I30" s="358">
        <v>0</v>
      </c>
      <c r="J30" s="358">
        <v>0</v>
      </c>
      <c r="K30" s="358">
        <v>0</v>
      </c>
      <c r="L30" s="359">
        <f>(I30+K30)/1.13+J30/1.09</f>
        <v>0</v>
      </c>
      <c r="M30" s="363">
        <f>L30*(1-F30)/C30</f>
        <v>0</v>
      </c>
      <c r="N30" s="348"/>
      <c r="O30" s="348"/>
      <c r="P30" s="348"/>
      <c r="Q30" s="336"/>
      <c r="R30" s="336"/>
      <c r="S30" s="336"/>
      <c r="T30" s="336"/>
      <c r="U30" s="336"/>
      <c r="V30" s="336"/>
      <c r="W30" s="336"/>
      <c r="X30" s="336"/>
      <c r="Y30" s="336"/>
      <c r="Z30" s="336"/>
      <c r="AA30" s="336"/>
      <c r="AB30" s="336"/>
      <c r="AC30" s="336"/>
      <c r="AD30" s="336"/>
      <c r="AE30" s="336"/>
      <c r="AF30" s="336"/>
      <c r="AG30" s="336"/>
      <c r="AH30" s="336"/>
      <c r="AI30" s="336"/>
      <c r="AJ30" s="336"/>
      <c r="AK30" s="336"/>
      <c r="AL30" s="336"/>
      <c r="AM30" s="336"/>
      <c r="AN30" s="336"/>
      <c r="AO30" s="336"/>
    </row>
    <row r="31" spans="1:41">
      <c r="A31" s="370" t="s">
        <v>172</v>
      </c>
      <c r="B31" s="354" t="s">
        <v>173</v>
      </c>
      <c r="C31" s="355"/>
      <c r="D31" s="356"/>
      <c r="E31" s="357"/>
      <c r="F31" s="357"/>
      <c r="G31" s="356"/>
      <c r="H31" s="336"/>
      <c r="I31" s="358">
        <v>0</v>
      </c>
      <c r="J31" s="358">
        <v>0</v>
      </c>
      <c r="K31" s="358">
        <v>0</v>
      </c>
      <c r="L31" s="359"/>
      <c r="M31" s="363"/>
      <c r="N31" s="348"/>
      <c r="O31" s="348"/>
      <c r="P31" s="348"/>
      <c r="Q31" s="336"/>
      <c r="R31" s="336"/>
      <c r="S31" s="336"/>
      <c r="T31" s="336"/>
      <c r="U31" s="336"/>
      <c r="V31" s="336"/>
      <c r="W31" s="336"/>
      <c r="X31" s="336"/>
      <c r="Y31" s="336"/>
      <c r="Z31" s="336"/>
      <c r="AA31" s="336"/>
      <c r="AB31" s="336"/>
      <c r="AC31" s="336"/>
      <c r="AD31" s="336"/>
      <c r="AE31" s="336"/>
      <c r="AF31" s="336"/>
      <c r="AG31" s="336"/>
      <c r="AH31" s="336"/>
      <c r="AI31" s="336"/>
      <c r="AJ31" s="336"/>
      <c r="AK31" s="336"/>
      <c r="AL31" s="336"/>
      <c r="AM31" s="336"/>
      <c r="AN31" s="336"/>
      <c r="AO31" s="336"/>
    </row>
    <row r="32" spans="1:41">
      <c r="A32" s="369" t="s">
        <v>174</v>
      </c>
      <c r="B32" s="354" t="s">
        <v>175</v>
      </c>
      <c r="C32" s="355"/>
      <c r="D32" s="356"/>
      <c r="E32" s="362"/>
      <c r="F32" s="362"/>
      <c r="G32" s="356"/>
      <c r="H32" s="336"/>
      <c r="I32" s="358">
        <v>0</v>
      </c>
      <c r="J32" s="358">
        <v>0</v>
      </c>
      <c r="K32" s="358">
        <v>0</v>
      </c>
      <c r="L32" s="359"/>
      <c r="M32" s="363"/>
      <c r="N32" s="348"/>
      <c r="O32" s="348"/>
      <c r="P32" s="348"/>
      <c r="Q32" s="336"/>
      <c r="R32" s="336"/>
      <c r="S32" s="336"/>
      <c r="T32" s="336"/>
      <c r="U32" s="336"/>
      <c r="V32" s="336"/>
      <c r="W32" s="336"/>
      <c r="X32" s="336"/>
      <c r="Y32" s="336"/>
      <c r="Z32" s="336"/>
      <c r="AA32" s="336"/>
      <c r="AB32" s="336"/>
      <c r="AC32" s="336"/>
      <c r="AD32" s="336"/>
      <c r="AE32" s="336"/>
      <c r="AF32" s="336"/>
      <c r="AG32" s="336"/>
      <c r="AH32" s="336"/>
      <c r="AI32" s="336"/>
      <c r="AJ32" s="336"/>
      <c r="AK32" s="336"/>
      <c r="AL32" s="336"/>
      <c r="AM32" s="336"/>
      <c r="AN32" s="336"/>
      <c r="AO32" s="336"/>
    </row>
    <row r="33" spans="1:41">
      <c r="A33" s="369" t="s">
        <v>176</v>
      </c>
      <c r="B33" s="354" t="s">
        <v>177</v>
      </c>
      <c r="C33" s="355"/>
      <c r="D33" s="356"/>
      <c r="E33" s="362"/>
      <c r="F33" s="362"/>
      <c r="G33" s="356"/>
      <c r="H33" s="336"/>
      <c r="I33" s="358">
        <v>0</v>
      </c>
      <c r="J33" s="358">
        <v>0</v>
      </c>
      <c r="K33" s="358">
        <v>0</v>
      </c>
      <c r="L33" s="359"/>
      <c r="M33" s="363"/>
      <c r="N33" s="348"/>
      <c r="O33" s="348"/>
      <c r="P33" s="348"/>
      <c r="Q33" s="336"/>
      <c r="R33" s="336"/>
      <c r="S33" s="336"/>
      <c r="T33" s="336"/>
      <c r="U33" s="336"/>
      <c r="V33" s="336"/>
      <c r="W33" s="336"/>
      <c r="X33" s="336"/>
      <c r="Y33" s="336"/>
      <c r="Z33" s="336"/>
      <c r="AA33" s="336"/>
      <c r="AB33" s="336"/>
      <c r="AC33" s="336"/>
      <c r="AD33" s="336"/>
      <c r="AE33" s="336"/>
      <c r="AF33" s="336"/>
      <c r="AG33" s="336"/>
      <c r="AH33" s="336"/>
      <c r="AI33" s="336"/>
      <c r="AJ33" s="336"/>
      <c r="AK33" s="336"/>
      <c r="AL33" s="336"/>
      <c r="AM33" s="336"/>
      <c r="AN33" s="336"/>
      <c r="AO33" s="336"/>
    </row>
    <row r="34" spans="1:41">
      <c r="A34" s="369" t="s">
        <v>178</v>
      </c>
      <c r="B34" s="354" t="s">
        <v>179</v>
      </c>
      <c r="C34" s="355"/>
      <c r="D34" s="356"/>
      <c r="E34" s="362"/>
      <c r="F34" s="362"/>
      <c r="G34" s="356"/>
      <c r="H34" s="336"/>
      <c r="I34" s="358">
        <v>0</v>
      </c>
      <c r="J34" s="358">
        <v>0</v>
      </c>
      <c r="K34" s="358">
        <v>0</v>
      </c>
      <c r="L34" s="359"/>
      <c r="M34" s="363"/>
      <c r="N34" s="348"/>
      <c r="O34" s="348"/>
      <c r="P34" s="348"/>
      <c r="Q34" s="336"/>
      <c r="R34" s="336"/>
      <c r="S34" s="336"/>
      <c r="T34" s="336"/>
      <c r="U34" s="336"/>
      <c r="V34" s="336"/>
      <c r="W34" s="336"/>
      <c r="X34" s="336"/>
      <c r="Y34" s="336"/>
      <c r="Z34" s="336"/>
      <c r="AA34" s="336"/>
      <c r="AB34" s="336"/>
      <c r="AC34" s="336"/>
      <c r="AD34" s="336"/>
      <c r="AE34" s="336"/>
      <c r="AF34" s="336"/>
      <c r="AG34" s="336"/>
      <c r="AH34" s="336"/>
      <c r="AI34" s="336"/>
      <c r="AJ34" s="336"/>
      <c r="AK34" s="336"/>
      <c r="AL34" s="336"/>
      <c r="AM34" s="336"/>
      <c r="AN34" s="336"/>
      <c r="AO34" s="336"/>
    </row>
    <row r="35" spans="1:41">
      <c r="A35" s="369" t="s">
        <v>180</v>
      </c>
      <c r="B35" s="354" t="s">
        <v>181</v>
      </c>
      <c r="C35" s="355"/>
      <c r="D35" s="356"/>
      <c r="E35" s="362"/>
      <c r="F35" s="362"/>
      <c r="G35" s="356"/>
      <c r="H35" s="336"/>
      <c r="I35" s="358">
        <v>0</v>
      </c>
      <c r="J35" s="358">
        <v>0</v>
      </c>
      <c r="K35" s="358">
        <v>0</v>
      </c>
      <c r="L35" s="359"/>
      <c r="M35" s="363"/>
      <c r="N35" s="348"/>
      <c r="O35" s="348"/>
      <c r="P35" s="348"/>
      <c r="Q35" s="336"/>
      <c r="R35" s="336"/>
      <c r="S35" s="336"/>
      <c r="T35" s="336"/>
      <c r="U35" s="336"/>
      <c r="V35" s="336"/>
      <c r="W35" s="336"/>
      <c r="X35" s="336"/>
      <c r="Y35" s="336"/>
      <c r="Z35" s="336"/>
      <c r="AA35" s="336"/>
      <c r="AB35" s="336"/>
      <c r="AC35" s="336"/>
      <c r="AD35" s="336"/>
      <c r="AE35" s="336"/>
      <c r="AF35" s="336"/>
      <c r="AG35" s="336"/>
      <c r="AH35" s="336"/>
      <c r="AI35" s="336"/>
      <c r="AJ35" s="336"/>
      <c r="AK35" s="336"/>
      <c r="AL35" s="336"/>
      <c r="AM35" s="336"/>
      <c r="AN35" s="336"/>
      <c r="AO35" s="336"/>
    </row>
    <row r="36" spans="1:41">
      <c r="A36" s="369" t="s">
        <v>182</v>
      </c>
      <c r="B36" s="354" t="s">
        <v>183</v>
      </c>
      <c r="C36" s="355"/>
      <c r="D36" s="356"/>
      <c r="E36" s="362"/>
      <c r="F36" s="362"/>
      <c r="G36" s="356"/>
      <c r="H36" s="336"/>
      <c r="I36" s="358">
        <v>0</v>
      </c>
      <c r="J36" s="358">
        <v>0</v>
      </c>
      <c r="K36" s="358">
        <v>0</v>
      </c>
      <c r="L36" s="359"/>
      <c r="M36" s="363"/>
      <c r="N36" s="348"/>
      <c r="O36" s="348"/>
      <c r="P36" s="348"/>
      <c r="Q36" s="336"/>
      <c r="R36" s="336"/>
      <c r="S36" s="336"/>
      <c r="T36" s="336"/>
      <c r="U36" s="336"/>
      <c r="V36" s="336"/>
      <c r="W36" s="336"/>
      <c r="X36" s="336"/>
      <c r="Y36" s="336"/>
      <c r="Z36" s="336"/>
      <c r="AA36" s="336"/>
      <c r="AB36" s="336"/>
      <c r="AC36" s="336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</row>
    <row r="37" spans="1:41">
      <c r="A37" s="369" t="s">
        <v>184</v>
      </c>
      <c r="B37" s="354" t="s">
        <v>185</v>
      </c>
      <c r="C37" s="355"/>
      <c r="D37" s="356"/>
      <c r="E37" s="362"/>
      <c r="F37" s="362"/>
      <c r="G37" s="356"/>
      <c r="H37" s="336"/>
      <c r="I37" s="358">
        <v>0</v>
      </c>
      <c r="J37" s="358">
        <v>0</v>
      </c>
      <c r="K37" s="358">
        <v>0</v>
      </c>
      <c r="L37" s="359"/>
      <c r="M37" s="363"/>
      <c r="N37" s="348"/>
      <c r="O37" s="348"/>
      <c r="P37" s="348"/>
      <c r="Q37" s="336"/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</row>
    <row r="38" spans="1:41">
      <c r="A38" s="369" t="s">
        <v>186</v>
      </c>
      <c r="B38" s="354" t="s">
        <v>187</v>
      </c>
      <c r="C38" s="355"/>
      <c r="D38" s="356"/>
      <c r="E38" s="362"/>
      <c r="F38" s="362"/>
      <c r="G38" s="356"/>
      <c r="H38" s="336"/>
      <c r="I38" s="358">
        <v>0</v>
      </c>
      <c r="J38" s="358">
        <v>0</v>
      </c>
      <c r="K38" s="358">
        <v>0</v>
      </c>
      <c r="L38" s="359"/>
      <c r="M38" s="363"/>
      <c r="N38" s="348"/>
      <c r="O38" s="348"/>
      <c r="P38" s="348"/>
      <c r="Q38" s="336"/>
      <c r="R38" s="336"/>
      <c r="S38" s="336"/>
      <c r="T38" s="336"/>
      <c r="U38" s="336"/>
      <c r="V38" s="336"/>
      <c r="W38" s="336"/>
      <c r="X38" s="336"/>
      <c r="Y38" s="336"/>
      <c r="Z38" s="336"/>
      <c r="AA38" s="336"/>
      <c r="AB38" s="336"/>
      <c r="AC38" s="336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  <c r="AO38" s="336"/>
    </row>
    <row r="39" spans="1:41">
      <c r="A39" s="369" t="s">
        <v>188</v>
      </c>
      <c r="B39" s="354" t="s">
        <v>189</v>
      </c>
      <c r="C39" s="355"/>
      <c r="D39" s="356"/>
      <c r="E39" s="362"/>
      <c r="F39" s="362"/>
      <c r="G39" s="356"/>
      <c r="H39" s="336"/>
      <c r="I39" s="358">
        <v>0</v>
      </c>
      <c r="J39" s="358">
        <v>0</v>
      </c>
      <c r="K39" s="358">
        <v>0</v>
      </c>
      <c r="L39" s="359"/>
      <c r="M39" s="363"/>
      <c r="N39" s="348"/>
      <c r="O39" s="348"/>
      <c r="P39" s="348"/>
      <c r="Q39" s="336"/>
      <c r="R39" s="336"/>
      <c r="S39" s="336"/>
      <c r="T39" s="336"/>
      <c r="U39" s="336"/>
      <c r="V39" s="336"/>
      <c r="W39" s="336"/>
      <c r="X39" s="336"/>
      <c r="Y39" s="336"/>
      <c r="Z39" s="336"/>
      <c r="AA39" s="336"/>
      <c r="AB39" s="336"/>
      <c r="AC39" s="336"/>
      <c r="AD39" s="336"/>
      <c r="AE39" s="336"/>
      <c r="AF39" s="336"/>
      <c r="AG39" s="336"/>
      <c r="AH39" s="336"/>
      <c r="AI39" s="336"/>
      <c r="AJ39" s="336"/>
      <c r="AK39" s="336"/>
      <c r="AL39" s="336"/>
      <c r="AM39" s="336"/>
      <c r="AN39" s="336"/>
      <c r="AO39" s="336"/>
    </row>
    <row r="40" spans="1:41">
      <c r="A40" s="369" t="s">
        <v>190</v>
      </c>
      <c r="B40" s="354" t="s">
        <v>191</v>
      </c>
      <c r="C40" s="355"/>
      <c r="D40" s="356"/>
      <c r="E40" s="362"/>
      <c r="F40" s="362"/>
      <c r="G40" s="356"/>
      <c r="H40" s="336"/>
      <c r="I40" s="358">
        <v>0</v>
      </c>
      <c r="J40" s="358">
        <v>0</v>
      </c>
      <c r="K40" s="358">
        <v>0</v>
      </c>
      <c r="L40" s="359"/>
      <c r="M40" s="363"/>
      <c r="N40" s="348"/>
      <c r="O40" s="348"/>
      <c r="P40" s="348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6"/>
      <c r="AC40" s="336"/>
      <c r="AD40" s="336"/>
      <c r="AE40" s="336"/>
      <c r="AF40" s="336"/>
      <c r="AG40" s="336"/>
      <c r="AH40" s="336"/>
      <c r="AI40" s="336"/>
      <c r="AJ40" s="336"/>
      <c r="AK40" s="336"/>
      <c r="AL40" s="336"/>
      <c r="AM40" s="336"/>
      <c r="AN40" s="336"/>
      <c r="AO40" s="336"/>
    </row>
    <row r="41" spans="1:41">
      <c r="A41" s="369" t="s">
        <v>192</v>
      </c>
      <c r="B41" s="354" t="s">
        <v>193</v>
      </c>
      <c r="C41" s="355"/>
      <c r="D41" s="356"/>
      <c r="E41" s="362"/>
      <c r="F41" s="362"/>
      <c r="G41" s="356"/>
      <c r="H41" s="336"/>
      <c r="I41" s="358">
        <v>0</v>
      </c>
      <c r="J41" s="358">
        <v>0</v>
      </c>
      <c r="K41" s="358">
        <v>0</v>
      </c>
      <c r="L41" s="359"/>
      <c r="M41" s="363"/>
      <c r="N41" s="348"/>
      <c r="O41" s="348"/>
      <c r="P41" s="348"/>
      <c r="Q41" s="336"/>
      <c r="R41" s="336"/>
      <c r="S41" s="336"/>
      <c r="T41" s="336"/>
      <c r="U41" s="336"/>
      <c r="V41" s="336"/>
      <c r="W41" s="336"/>
      <c r="X41" s="336"/>
      <c r="Y41" s="336"/>
      <c r="Z41" s="336"/>
      <c r="AA41" s="336"/>
      <c r="AB41" s="336"/>
      <c r="AC41" s="336"/>
      <c r="AD41" s="336"/>
      <c r="AE41" s="336"/>
      <c r="AF41" s="336"/>
      <c r="AG41" s="336"/>
      <c r="AH41" s="336"/>
      <c r="AI41" s="336"/>
      <c r="AJ41" s="336"/>
      <c r="AK41" s="336"/>
      <c r="AL41" s="336"/>
      <c r="AM41" s="336"/>
      <c r="AN41" s="336"/>
      <c r="AO41" s="336"/>
    </row>
    <row r="42" spans="1:41">
      <c r="A42" s="369" t="s">
        <v>194</v>
      </c>
      <c r="B42" s="354" t="s">
        <v>195</v>
      </c>
      <c r="C42" s="355"/>
      <c r="D42" s="356"/>
      <c r="E42" s="362"/>
      <c r="F42" s="362"/>
      <c r="G42" s="356"/>
      <c r="H42" s="336"/>
      <c r="I42" s="358">
        <v>0</v>
      </c>
      <c r="J42" s="358">
        <v>0</v>
      </c>
      <c r="K42" s="358">
        <v>0</v>
      </c>
      <c r="L42" s="359"/>
      <c r="M42" s="363"/>
      <c r="N42" s="348"/>
      <c r="O42" s="348"/>
      <c r="P42" s="348"/>
      <c r="Q42" s="336"/>
      <c r="R42" s="336"/>
      <c r="S42" s="336"/>
      <c r="T42" s="336"/>
      <c r="U42" s="336"/>
      <c r="V42" s="336"/>
      <c r="W42" s="336"/>
      <c r="X42" s="336"/>
      <c r="Y42" s="336"/>
      <c r="Z42" s="336"/>
      <c r="AA42" s="336"/>
      <c r="AB42" s="336"/>
      <c r="AC42" s="336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</row>
    <row r="43" spans="1:41">
      <c r="A43" s="369" t="s">
        <v>196</v>
      </c>
      <c r="B43" s="354" t="s">
        <v>197</v>
      </c>
      <c r="C43" s="355"/>
      <c r="D43" s="356"/>
      <c r="E43" s="362"/>
      <c r="F43" s="362"/>
      <c r="G43" s="356"/>
      <c r="H43" s="336"/>
      <c r="I43" s="358">
        <v>0</v>
      </c>
      <c r="J43" s="358">
        <v>0</v>
      </c>
      <c r="K43" s="358">
        <v>0</v>
      </c>
      <c r="L43" s="359"/>
      <c r="M43" s="363"/>
      <c r="N43" s="348"/>
      <c r="O43" s="348"/>
      <c r="P43" s="348"/>
      <c r="Q43" s="336"/>
      <c r="R43" s="336"/>
      <c r="S43" s="336"/>
      <c r="T43" s="336"/>
      <c r="U43" s="336"/>
      <c r="V43" s="336"/>
      <c r="W43" s="336"/>
      <c r="X43" s="336"/>
      <c r="Y43" s="336"/>
      <c r="Z43" s="336"/>
      <c r="AA43" s="336"/>
      <c r="AB43" s="336"/>
      <c r="AC43" s="336"/>
      <c r="AD43" s="336"/>
      <c r="AE43" s="336"/>
      <c r="AF43" s="336"/>
      <c r="AG43" s="336"/>
      <c r="AH43" s="336"/>
      <c r="AI43" s="336"/>
      <c r="AJ43" s="336"/>
      <c r="AK43" s="336"/>
      <c r="AL43" s="336"/>
      <c r="AM43" s="336"/>
      <c r="AN43" s="336"/>
      <c r="AO43" s="336"/>
    </row>
    <row r="44" spans="1:41">
      <c r="A44" s="369" t="s">
        <v>198</v>
      </c>
      <c r="B44" s="354" t="s">
        <v>199</v>
      </c>
      <c r="C44" s="355"/>
      <c r="D44" s="356"/>
      <c r="E44" s="362"/>
      <c r="F44" s="362"/>
      <c r="G44" s="356"/>
      <c r="H44" s="336"/>
      <c r="I44" s="358">
        <v>0</v>
      </c>
      <c r="J44" s="358">
        <v>0</v>
      </c>
      <c r="K44" s="358">
        <v>0</v>
      </c>
      <c r="L44" s="359"/>
      <c r="M44" s="363"/>
      <c r="N44" s="348"/>
      <c r="O44" s="348"/>
      <c r="P44" s="348"/>
      <c r="Q44" s="336"/>
      <c r="R44" s="336"/>
      <c r="S44" s="336"/>
      <c r="T44" s="336"/>
      <c r="U44" s="336"/>
      <c r="V44" s="336"/>
      <c r="W44" s="336"/>
      <c r="X44" s="336"/>
      <c r="Y44" s="336"/>
      <c r="Z44" s="336"/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336"/>
      <c r="AL44" s="336"/>
      <c r="AM44" s="336"/>
      <c r="AN44" s="336"/>
      <c r="AO44" s="336"/>
    </row>
    <row r="45" spans="1:41">
      <c r="A45" s="369" t="s">
        <v>200</v>
      </c>
      <c r="B45" s="354" t="s">
        <v>201</v>
      </c>
      <c r="C45" s="355">
        <v>12</v>
      </c>
      <c r="D45" s="356" t="s">
        <v>121</v>
      </c>
      <c r="E45" s="362">
        <v>0.0475</v>
      </c>
      <c r="F45" s="362">
        <v>0.05</v>
      </c>
      <c r="G45" s="356"/>
      <c r="H45" s="336"/>
      <c r="I45" s="358">
        <f>静态总投!E3</f>
        <v>9000</v>
      </c>
      <c r="J45" s="358">
        <f>静态总投!E9</f>
        <v>600</v>
      </c>
      <c r="K45" s="358">
        <v>0</v>
      </c>
      <c r="L45" s="359">
        <f>(I45+K45)/1.13+J45/1.09</f>
        <v>8515.06048550784</v>
      </c>
      <c r="M45" s="363">
        <f>L45*(1-F45)/C45</f>
        <v>674.108955102704</v>
      </c>
      <c r="N45" s="372" t="s">
        <v>202</v>
      </c>
      <c r="O45" s="373"/>
      <c r="P45" s="348"/>
      <c r="Q45" s="336"/>
      <c r="R45" s="336"/>
      <c r="S45" s="336"/>
      <c r="T45" s="336"/>
      <c r="U45" s="336"/>
      <c r="V45" s="336"/>
      <c r="W45" s="336"/>
      <c r="X45" s="336"/>
      <c r="Y45" s="336"/>
      <c r="Z45" s="336"/>
      <c r="AA45" s="336"/>
      <c r="AB45" s="336"/>
      <c r="AC45" s="336"/>
      <c r="AD45" s="336"/>
      <c r="AE45" s="336"/>
      <c r="AF45" s="336"/>
      <c r="AG45" s="336"/>
      <c r="AH45" s="336"/>
      <c r="AI45" s="336"/>
      <c r="AJ45" s="336"/>
      <c r="AK45" s="336"/>
      <c r="AL45" s="336"/>
      <c r="AM45" s="336"/>
      <c r="AN45" s="336"/>
      <c r="AO45" s="336"/>
    </row>
    <row r="46" spans="1:41">
      <c r="A46" s="370" t="s">
        <v>203</v>
      </c>
      <c r="B46" s="354" t="s">
        <v>204</v>
      </c>
      <c r="C46" s="355"/>
      <c r="D46" s="356"/>
      <c r="E46" s="357"/>
      <c r="F46" s="357"/>
      <c r="G46" s="356"/>
      <c r="H46" s="336"/>
      <c r="I46" s="358">
        <v>0</v>
      </c>
      <c r="J46" s="358">
        <v>0</v>
      </c>
      <c r="K46" s="358">
        <v>0</v>
      </c>
      <c r="L46" s="359"/>
      <c r="M46" s="363"/>
      <c r="N46" s="348"/>
      <c r="O46" s="348"/>
      <c r="P46" s="348"/>
      <c r="Q46" s="336"/>
      <c r="R46" s="336"/>
      <c r="S46" s="336"/>
      <c r="T46" s="336"/>
      <c r="U46" s="336"/>
      <c r="V46" s="336"/>
      <c r="W46" s="336"/>
      <c r="X46" s="336"/>
      <c r="Y46" s="336"/>
      <c r="Z46" s="336"/>
      <c r="AA46" s="336"/>
      <c r="AB46" s="336"/>
      <c r="AC46" s="336"/>
      <c r="AD46" s="336"/>
      <c r="AE46" s="336"/>
      <c r="AF46" s="336"/>
      <c r="AG46" s="336"/>
      <c r="AH46" s="336"/>
      <c r="AI46" s="336"/>
      <c r="AJ46" s="336"/>
      <c r="AK46" s="336"/>
      <c r="AL46" s="336"/>
      <c r="AM46" s="336"/>
      <c r="AN46" s="336"/>
      <c r="AO46" s="336"/>
    </row>
    <row r="47" spans="1:41">
      <c r="A47" s="370" t="s">
        <v>205</v>
      </c>
      <c r="B47" s="354" t="s">
        <v>206</v>
      </c>
      <c r="C47" s="355"/>
      <c r="D47" s="356"/>
      <c r="E47" s="357"/>
      <c r="F47" s="357"/>
      <c r="G47" s="356"/>
      <c r="H47" s="336"/>
      <c r="I47" s="358">
        <v>0</v>
      </c>
      <c r="J47" s="358">
        <v>0</v>
      </c>
      <c r="K47" s="358">
        <v>0</v>
      </c>
      <c r="L47" s="359"/>
      <c r="M47" s="363"/>
      <c r="N47" s="348"/>
      <c r="O47" s="348"/>
      <c r="P47" s="348"/>
      <c r="Q47" s="336"/>
      <c r="R47" s="336"/>
      <c r="S47" s="336"/>
      <c r="T47" s="336"/>
      <c r="U47" s="336"/>
      <c r="V47" s="336"/>
      <c r="W47" s="336"/>
      <c r="X47" s="336"/>
      <c r="Y47" s="336"/>
      <c r="Z47" s="336"/>
      <c r="AA47" s="336"/>
      <c r="AB47" s="336"/>
      <c r="AC47" s="336"/>
      <c r="AD47" s="336"/>
      <c r="AE47" s="336"/>
      <c r="AF47" s="336"/>
      <c r="AG47" s="336"/>
      <c r="AH47" s="336"/>
      <c r="AI47" s="336"/>
      <c r="AJ47" s="336"/>
      <c r="AK47" s="336"/>
      <c r="AL47" s="336"/>
      <c r="AM47" s="336"/>
      <c r="AN47" s="336"/>
      <c r="AO47" s="336"/>
    </row>
    <row r="48" spans="1:41">
      <c r="A48" s="369" t="s">
        <v>207</v>
      </c>
      <c r="B48" s="354" t="s">
        <v>208</v>
      </c>
      <c r="C48" s="355">
        <v>12</v>
      </c>
      <c r="D48" s="356" t="s">
        <v>121</v>
      </c>
      <c r="E48" s="362">
        <v>0.0792</v>
      </c>
      <c r="F48" s="362">
        <v>0.05</v>
      </c>
      <c r="G48" s="356"/>
      <c r="H48" s="336"/>
      <c r="I48" s="358">
        <v>0</v>
      </c>
      <c r="J48" s="358">
        <v>0</v>
      </c>
      <c r="K48" s="358">
        <v>0</v>
      </c>
      <c r="L48" s="359">
        <f t="shared" ref="L48:L57" si="0">(I48+K48)/1.13+J48/1.09</f>
        <v>0</v>
      </c>
      <c r="M48" s="363">
        <f t="shared" ref="M48:M57" si="1">L48*(1-F48)/C48</f>
        <v>0</v>
      </c>
      <c r="N48" s="348"/>
      <c r="O48" s="348"/>
      <c r="P48" s="348"/>
      <c r="Q48" s="336"/>
      <c r="R48" s="336"/>
      <c r="S48" s="336"/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  <c r="AI48" s="336"/>
      <c r="AJ48" s="336"/>
      <c r="AK48" s="336"/>
      <c r="AL48" s="336"/>
      <c r="AM48" s="336"/>
      <c r="AN48" s="336"/>
      <c r="AO48" s="336"/>
    </row>
    <row r="49" spans="1:41">
      <c r="A49" s="369" t="s">
        <v>209</v>
      </c>
      <c r="B49" s="354" t="s">
        <v>210</v>
      </c>
      <c r="C49" s="355">
        <v>12</v>
      </c>
      <c r="D49" s="356" t="s">
        <v>121</v>
      </c>
      <c r="E49" s="362">
        <v>0.0792</v>
      </c>
      <c r="F49" s="362">
        <v>0.05</v>
      </c>
      <c r="G49" s="356"/>
      <c r="H49" s="336"/>
      <c r="I49" s="358">
        <v>0</v>
      </c>
      <c r="J49" s="358">
        <v>0</v>
      </c>
      <c r="K49" s="358">
        <v>0</v>
      </c>
      <c r="L49" s="359">
        <f t="shared" si="0"/>
        <v>0</v>
      </c>
      <c r="M49" s="363">
        <f t="shared" si="1"/>
        <v>0</v>
      </c>
      <c r="N49" s="348"/>
      <c r="O49" s="348"/>
      <c r="P49" s="348"/>
      <c r="Q49" s="336"/>
      <c r="R49" s="336"/>
      <c r="S49" s="336"/>
      <c r="T49" s="336"/>
      <c r="U49" s="33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6"/>
      <c r="AI49" s="336"/>
      <c r="AJ49" s="336"/>
      <c r="AK49" s="336"/>
      <c r="AL49" s="336"/>
      <c r="AM49" s="336"/>
      <c r="AN49" s="336"/>
      <c r="AO49" s="336"/>
    </row>
    <row r="50" spans="1:41">
      <c r="A50" s="369" t="s">
        <v>211</v>
      </c>
      <c r="B50" s="354" t="s">
        <v>212</v>
      </c>
      <c r="C50" s="355">
        <v>12</v>
      </c>
      <c r="D50" s="356" t="s">
        <v>121</v>
      </c>
      <c r="E50" s="362">
        <v>0.0792</v>
      </c>
      <c r="F50" s="362">
        <v>0.05</v>
      </c>
      <c r="G50" s="356"/>
      <c r="H50" s="336"/>
      <c r="I50" s="358">
        <v>0</v>
      </c>
      <c r="J50" s="358">
        <v>0</v>
      </c>
      <c r="K50" s="358">
        <v>0</v>
      </c>
      <c r="L50" s="359">
        <f t="shared" si="0"/>
        <v>0</v>
      </c>
      <c r="M50" s="363">
        <f t="shared" si="1"/>
        <v>0</v>
      </c>
      <c r="N50" s="348"/>
      <c r="O50" s="348"/>
      <c r="P50" s="348"/>
      <c r="Q50" s="336"/>
      <c r="R50" s="336"/>
      <c r="S50" s="336"/>
      <c r="T50" s="336"/>
      <c r="U50" s="336"/>
      <c r="V50" s="336"/>
      <c r="W50" s="336"/>
      <c r="X50" s="336"/>
      <c r="Y50" s="336"/>
      <c r="Z50" s="336"/>
      <c r="AA50" s="336"/>
      <c r="AB50" s="336"/>
      <c r="AC50" s="336"/>
      <c r="AD50" s="336"/>
      <c r="AE50" s="336"/>
      <c r="AF50" s="336"/>
      <c r="AG50" s="336"/>
      <c r="AH50" s="336"/>
      <c r="AI50" s="336"/>
      <c r="AJ50" s="336"/>
      <c r="AK50" s="336"/>
      <c r="AL50" s="336"/>
      <c r="AM50" s="336"/>
      <c r="AN50" s="336"/>
      <c r="AO50" s="336"/>
    </row>
    <row r="51" spans="1:41">
      <c r="A51" s="369" t="s">
        <v>213</v>
      </c>
      <c r="B51" s="354" t="s">
        <v>214</v>
      </c>
      <c r="C51" s="355">
        <v>12</v>
      </c>
      <c r="D51" s="356" t="s">
        <v>121</v>
      </c>
      <c r="E51" s="362">
        <v>0.0792</v>
      </c>
      <c r="F51" s="362">
        <v>0.05</v>
      </c>
      <c r="G51" s="356"/>
      <c r="H51" s="336"/>
      <c r="I51" s="358">
        <v>0</v>
      </c>
      <c r="J51" s="358">
        <v>0</v>
      </c>
      <c r="K51" s="358">
        <v>0</v>
      </c>
      <c r="L51" s="359">
        <f t="shared" si="0"/>
        <v>0</v>
      </c>
      <c r="M51" s="363">
        <f t="shared" si="1"/>
        <v>0</v>
      </c>
      <c r="N51" s="348"/>
      <c r="O51" s="348"/>
      <c r="P51" s="348"/>
      <c r="Q51" s="336"/>
      <c r="R51" s="336"/>
      <c r="S51" s="336"/>
      <c r="T51" s="336"/>
      <c r="U51" s="336"/>
      <c r="V51" s="336"/>
      <c r="W51" s="336"/>
      <c r="X51" s="336"/>
      <c r="Y51" s="336"/>
      <c r="Z51" s="336"/>
      <c r="AA51" s="336"/>
      <c r="AB51" s="336"/>
      <c r="AC51" s="336"/>
      <c r="AD51" s="336"/>
      <c r="AE51" s="336"/>
      <c r="AF51" s="336"/>
      <c r="AG51" s="336"/>
      <c r="AH51" s="336"/>
      <c r="AI51" s="336"/>
      <c r="AJ51" s="336"/>
      <c r="AK51" s="336"/>
      <c r="AL51" s="336"/>
      <c r="AM51" s="336"/>
      <c r="AN51" s="336"/>
      <c r="AO51" s="336"/>
    </row>
    <row r="52" spans="1:41">
      <c r="A52" s="369" t="s">
        <v>215</v>
      </c>
      <c r="B52" s="354" t="s">
        <v>216</v>
      </c>
      <c r="C52" s="355">
        <v>12</v>
      </c>
      <c r="D52" s="356" t="s">
        <v>121</v>
      </c>
      <c r="E52" s="362">
        <v>0.0792</v>
      </c>
      <c r="F52" s="362">
        <v>0.05</v>
      </c>
      <c r="G52" s="356"/>
      <c r="H52" s="336"/>
      <c r="I52" s="358">
        <v>0</v>
      </c>
      <c r="J52" s="358">
        <v>0</v>
      </c>
      <c r="K52" s="358">
        <v>0</v>
      </c>
      <c r="L52" s="359">
        <f t="shared" si="0"/>
        <v>0</v>
      </c>
      <c r="M52" s="363">
        <f t="shared" si="1"/>
        <v>0</v>
      </c>
      <c r="N52" s="348"/>
      <c r="O52" s="348"/>
      <c r="P52" s="348"/>
      <c r="Q52" s="336"/>
      <c r="R52" s="336"/>
      <c r="S52" s="336"/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6"/>
      <c r="AN52" s="336"/>
      <c r="AO52" s="336"/>
    </row>
    <row r="53" spans="1:41">
      <c r="A53" s="369" t="s">
        <v>217</v>
      </c>
      <c r="B53" s="354" t="s">
        <v>218</v>
      </c>
      <c r="C53" s="355">
        <v>12</v>
      </c>
      <c r="D53" s="356" t="s">
        <v>121</v>
      </c>
      <c r="E53" s="362">
        <v>0.0792</v>
      </c>
      <c r="F53" s="362">
        <v>0.05</v>
      </c>
      <c r="G53" s="356"/>
      <c r="H53" s="336"/>
      <c r="I53" s="358">
        <v>0</v>
      </c>
      <c r="J53" s="358">
        <v>0</v>
      </c>
      <c r="K53" s="358">
        <v>0</v>
      </c>
      <c r="L53" s="359">
        <f t="shared" si="0"/>
        <v>0</v>
      </c>
      <c r="M53" s="363">
        <f t="shared" si="1"/>
        <v>0</v>
      </c>
      <c r="N53" s="348"/>
      <c r="O53" s="348"/>
      <c r="P53" s="348"/>
      <c r="Q53" s="336"/>
      <c r="R53" s="336"/>
      <c r="S53" s="336"/>
      <c r="T53" s="336"/>
      <c r="U53" s="336"/>
      <c r="V53" s="336"/>
      <c r="W53" s="336"/>
      <c r="X53" s="336"/>
      <c r="Y53" s="336"/>
      <c r="Z53" s="336"/>
      <c r="AA53" s="336"/>
      <c r="AB53" s="336"/>
      <c r="AC53" s="336"/>
      <c r="AD53" s="336"/>
      <c r="AE53" s="336"/>
      <c r="AF53" s="336"/>
      <c r="AG53" s="336"/>
      <c r="AH53" s="336"/>
      <c r="AI53" s="336"/>
      <c r="AJ53" s="336"/>
      <c r="AK53" s="336"/>
      <c r="AL53" s="336"/>
      <c r="AM53" s="336"/>
      <c r="AN53" s="336"/>
      <c r="AO53" s="336"/>
    </row>
    <row r="54" spans="1:41">
      <c r="A54" s="369" t="s">
        <v>219</v>
      </c>
      <c r="B54" s="354" t="s">
        <v>220</v>
      </c>
      <c r="C54" s="355">
        <v>12</v>
      </c>
      <c r="D54" s="356" t="s">
        <v>121</v>
      </c>
      <c r="E54" s="362">
        <v>0.0792</v>
      </c>
      <c r="F54" s="362">
        <v>0.05</v>
      </c>
      <c r="G54" s="356"/>
      <c r="H54" s="336"/>
      <c r="I54" s="358">
        <v>0</v>
      </c>
      <c r="J54" s="358">
        <v>0</v>
      </c>
      <c r="K54" s="358">
        <v>0</v>
      </c>
      <c r="L54" s="359">
        <f t="shared" si="0"/>
        <v>0</v>
      </c>
      <c r="M54" s="363">
        <f t="shared" si="1"/>
        <v>0</v>
      </c>
      <c r="N54" s="348"/>
      <c r="O54" s="348"/>
      <c r="P54" s="348"/>
      <c r="Q54" s="336"/>
      <c r="R54" s="336"/>
      <c r="S54" s="336"/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</row>
    <row r="55" spans="1:41">
      <c r="A55" s="369" t="s">
        <v>221</v>
      </c>
      <c r="B55" s="354" t="s">
        <v>222</v>
      </c>
      <c r="C55" s="355">
        <v>12</v>
      </c>
      <c r="D55" s="356" t="s">
        <v>121</v>
      </c>
      <c r="E55" s="362">
        <v>0.0792</v>
      </c>
      <c r="F55" s="362">
        <v>0.05</v>
      </c>
      <c r="G55" s="356"/>
      <c r="H55" s="336"/>
      <c r="I55" s="358">
        <v>0</v>
      </c>
      <c r="J55" s="358">
        <v>0</v>
      </c>
      <c r="K55" s="358">
        <v>0</v>
      </c>
      <c r="L55" s="359">
        <f t="shared" si="0"/>
        <v>0</v>
      </c>
      <c r="M55" s="363">
        <f t="shared" si="1"/>
        <v>0</v>
      </c>
      <c r="N55" s="348"/>
      <c r="O55" s="348"/>
      <c r="P55" s="348"/>
      <c r="Q55" s="336"/>
      <c r="R55" s="336"/>
      <c r="S55" s="336"/>
      <c r="T55" s="336"/>
      <c r="U55" s="336"/>
      <c r="V55" s="336"/>
      <c r="W55" s="336"/>
      <c r="X55" s="336"/>
      <c r="Y55" s="336"/>
      <c r="Z55" s="336"/>
      <c r="AA55" s="336"/>
      <c r="AB55" s="336"/>
      <c r="AC55" s="336"/>
      <c r="AD55" s="336"/>
      <c r="AE55" s="336"/>
      <c r="AF55" s="336"/>
      <c r="AG55" s="336"/>
      <c r="AH55" s="336"/>
      <c r="AI55" s="336"/>
      <c r="AJ55" s="336"/>
      <c r="AK55" s="336"/>
      <c r="AL55" s="336"/>
      <c r="AM55" s="336"/>
      <c r="AN55" s="336"/>
      <c r="AO55" s="336"/>
    </row>
    <row r="56" spans="1:41">
      <c r="A56" s="369" t="s">
        <v>223</v>
      </c>
      <c r="B56" s="354" t="s">
        <v>224</v>
      </c>
      <c r="C56" s="355">
        <v>12</v>
      </c>
      <c r="D56" s="356" t="s">
        <v>121</v>
      </c>
      <c r="E56" s="362">
        <v>0.0792</v>
      </c>
      <c r="F56" s="362">
        <v>0.05</v>
      </c>
      <c r="G56" s="356"/>
      <c r="H56" s="336"/>
      <c r="I56" s="358">
        <v>0</v>
      </c>
      <c r="J56" s="358">
        <v>0</v>
      </c>
      <c r="K56" s="358">
        <v>0</v>
      </c>
      <c r="L56" s="359">
        <f t="shared" si="0"/>
        <v>0</v>
      </c>
      <c r="M56" s="363">
        <f t="shared" si="1"/>
        <v>0</v>
      </c>
      <c r="N56" s="348"/>
      <c r="O56" s="348"/>
      <c r="P56" s="348"/>
      <c r="Q56" s="336"/>
      <c r="R56" s="336"/>
      <c r="S56" s="336"/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</row>
    <row r="57" spans="1:41">
      <c r="A57" s="369" t="s">
        <v>225</v>
      </c>
      <c r="B57" s="354" t="s">
        <v>226</v>
      </c>
      <c r="C57" s="355">
        <v>12</v>
      </c>
      <c r="D57" s="356" t="s">
        <v>121</v>
      </c>
      <c r="E57" s="362">
        <v>0.0792</v>
      </c>
      <c r="F57" s="362">
        <v>0.05</v>
      </c>
      <c r="G57" s="356"/>
      <c r="H57" s="336"/>
      <c r="I57" s="358">
        <v>0</v>
      </c>
      <c r="J57" s="358">
        <v>0</v>
      </c>
      <c r="K57" s="358">
        <v>0</v>
      </c>
      <c r="L57" s="359">
        <f t="shared" si="0"/>
        <v>0</v>
      </c>
      <c r="M57" s="363">
        <f t="shared" si="1"/>
        <v>0</v>
      </c>
      <c r="N57" s="348"/>
      <c r="O57" s="348"/>
      <c r="P57" s="348"/>
      <c r="Q57" s="336"/>
      <c r="R57" s="336"/>
      <c r="S57" s="336"/>
      <c r="T57" s="336"/>
      <c r="U57" s="336"/>
      <c r="V57" s="336"/>
      <c r="W57" s="336"/>
      <c r="X57" s="336"/>
      <c r="Y57" s="336"/>
      <c r="Z57" s="336"/>
      <c r="AA57" s="336"/>
      <c r="AB57" s="336"/>
      <c r="AC57" s="336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</row>
    <row r="58" spans="1:41">
      <c r="A58" s="370" t="s">
        <v>227</v>
      </c>
      <c r="B58" s="354" t="s">
        <v>228</v>
      </c>
      <c r="C58" s="355"/>
      <c r="D58" s="356"/>
      <c r="E58" s="357"/>
      <c r="F58" s="357"/>
      <c r="G58" s="356"/>
      <c r="H58" s="336"/>
      <c r="I58" s="358">
        <v>0</v>
      </c>
      <c r="J58" s="358">
        <v>0</v>
      </c>
      <c r="K58" s="358">
        <v>0</v>
      </c>
      <c r="L58" s="359"/>
      <c r="M58" s="363"/>
      <c r="N58" s="348"/>
      <c r="O58" s="348"/>
      <c r="P58" s="348"/>
      <c r="Q58" s="336"/>
      <c r="R58" s="336"/>
      <c r="S58" s="336"/>
      <c r="T58" s="336"/>
      <c r="U58" s="336"/>
      <c r="V58" s="336"/>
      <c r="W58" s="336"/>
      <c r="X58" s="336"/>
      <c r="Y58" s="336"/>
      <c r="Z58" s="336"/>
      <c r="AA58" s="336"/>
      <c r="AB58" s="336"/>
      <c r="AC58" s="336"/>
      <c r="AD58" s="336"/>
      <c r="AE58" s="336"/>
      <c r="AF58" s="336"/>
      <c r="AG58" s="336"/>
      <c r="AH58" s="336"/>
      <c r="AI58" s="336"/>
      <c r="AJ58" s="336"/>
      <c r="AK58" s="336"/>
      <c r="AL58" s="336"/>
      <c r="AM58" s="336"/>
      <c r="AN58" s="336"/>
      <c r="AO58" s="336"/>
    </row>
    <row r="59" spans="1:41">
      <c r="A59" s="370" t="s">
        <v>229</v>
      </c>
      <c r="B59" s="354" t="s">
        <v>230</v>
      </c>
      <c r="C59" s="355"/>
      <c r="D59" s="356"/>
      <c r="E59" s="357"/>
      <c r="F59" s="357"/>
      <c r="G59" s="356"/>
      <c r="H59" s="336"/>
      <c r="I59" s="358">
        <v>0</v>
      </c>
      <c r="J59" s="358">
        <v>0</v>
      </c>
      <c r="K59" s="358">
        <v>0</v>
      </c>
      <c r="L59" s="359"/>
      <c r="M59" s="363"/>
      <c r="N59" s="348"/>
      <c r="O59" s="348"/>
      <c r="P59" s="348"/>
      <c r="Q59" s="336"/>
      <c r="R59" s="336"/>
      <c r="S59" s="336"/>
      <c r="T59" s="336"/>
      <c r="U59" s="336"/>
      <c r="V59" s="336"/>
      <c r="W59" s="336"/>
      <c r="X59" s="336"/>
      <c r="Y59" s="336"/>
      <c r="Z59" s="336"/>
      <c r="AA59" s="336"/>
      <c r="AB59" s="336"/>
      <c r="AC59" s="336"/>
      <c r="AD59" s="336"/>
      <c r="AE59" s="336"/>
      <c r="AF59" s="336"/>
      <c r="AG59" s="336"/>
      <c r="AH59" s="336"/>
      <c r="AI59" s="336"/>
      <c r="AJ59" s="336"/>
      <c r="AK59" s="336"/>
      <c r="AL59" s="336"/>
      <c r="AM59" s="336"/>
      <c r="AN59" s="336"/>
      <c r="AO59" s="336"/>
    </row>
    <row r="60" spans="1:41">
      <c r="A60" s="369" t="s">
        <v>231</v>
      </c>
      <c r="B60" s="354" t="s">
        <v>232</v>
      </c>
      <c r="C60" s="355">
        <v>10</v>
      </c>
      <c r="D60" s="356" t="s">
        <v>121</v>
      </c>
      <c r="E60" s="362">
        <v>0.095</v>
      </c>
      <c r="F60" s="362">
        <v>0.05</v>
      </c>
      <c r="G60" s="356"/>
      <c r="H60" s="336"/>
      <c r="I60" s="358">
        <v>0</v>
      </c>
      <c r="J60" s="358">
        <v>0</v>
      </c>
      <c r="K60" s="358">
        <v>0</v>
      </c>
      <c r="L60" s="359">
        <f t="shared" ref="L60:L65" si="2">(I60+K60)/1.13+J60/1.09</f>
        <v>0</v>
      </c>
      <c r="M60" s="363">
        <f t="shared" ref="M60:M65" si="3">L60*(1-F60)/C60</f>
        <v>0</v>
      </c>
      <c r="N60" s="348"/>
      <c r="O60" s="348"/>
      <c r="P60" s="348"/>
      <c r="Q60" s="336"/>
      <c r="R60" s="336"/>
      <c r="S60" s="336"/>
      <c r="T60" s="336"/>
      <c r="U60" s="336"/>
      <c r="V60" s="336"/>
      <c r="W60" s="336"/>
      <c r="X60" s="336"/>
      <c r="Y60" s="336"/>
      <c r="Z60" s="336"/>
      <c r="AA60" s="336"/>
      <c r="AB60" s="336"/>
      <c r="AC60" s="336"/>
      <c r="AD60" s="336"/>
      <c r="AE60" s="336"/>
      <c r="AF60" s="336"/>
      <c r="AG60" s="336"/>
      <c r="AH60" s="336"/>
      <c r="AI60" s="336"/>
      <c r="AJ60" s="336"/>
      <c r="AK60" s="336"/>
      <c r="AL60" s="336"/>
      <c r="AM60" s="336"/>
      <c r="AN60" s="336"/>
      <c r="AO60" s="336"/>
    </row>
    <row r="61" spans="1:41">
      <c r="A61" s="369" t="s">
        <v>233</v>
      </c>
      <c r="B61" s="354" t="s">
        <v>234</v>
      </c>
      <c r="C61" s="355">
        <v>10</v>
      </c>
      <c r="D61" s="356" t="s">
        <v>121</v>
      </c>
      <c r="E61" s="362">
        <v>0.095</v>
      </c>
      <c r="F61" s="362">
        <v>0.05</v>
      </c>
      <c r="G61" s="356"/>
      <c r="H61" s="336"/>
      <c r="I61" s="358">
        <v>0</v>
      </c>
      <c r="J61" s="358">
        <v>0</v>
      </c>
      <c r="K61" s="358">
        <v>0</v>
      </c>
      <c r="L61" s="359">
        <f t="shared" si="2"/>
        <v>0</v>
      </c>
      <c r="M61" s="363">
        <f t="shared" si="3"/>
        <v>0</v>
      </c>
      <c r="N61" s="348"/>
      <c r="O61" s="348"/>
      <c r="P61" s="348"/>
      <c r="Q61" s="336"/>
      <c r="R61" s="336"/>
      <c r="S61" s="336"/>
      <c r="T61" s="336"/>
      <c r="U61" s="336"/>
      <c r="V61" s="336"/>
      <c r="W61" s="336"/>
      <c r="X61" s="336"/>
      <c r="Y61" s="336"/>
      <c r="Z61" s="336"/>
      <c r="AA61" s="336"/>
      <c r="AB61" s="336"/>
      <c r="AC61" s="336"/>
      <c r="AD61" s="336"/>
      <c r="AE61" s="336"/>
      <c r="AF61" s="336"/>
      <c r="AG61" s="336"/>
      <c r="AH61" s="336"/>
      <c r="AI61" s="336"/>
      <c r="AJ61" s="336"/>
      <c r="AK61" s="336"/>
      <c r="AL61" s="336"/>
      <c r="AM61" s="336"/>
      <c r="AN61" s="336"/>
      <c r="AO61" s="336"/>
    </row>
    <row r="62" spans="1:41">
      <c r="A62" s="369" t="s">
        <v>235</v>
      </c>
      <c r="B62" s="354" t="s">
        <v>236</v>
      </c>
      <c r="C62" s="355">
        <v>6</v>
      </c>
      <c r="D62" s="356" t="s">
        <v>121</v>
      </c>
      <c r="E62" s="362">
        <v>0.1583</v>
      </c>
      <c r="F62" s="362">
        <v>0.05</v>
      </c>
      <c r="G62" s="356"/>
      <c r="H62" s="336"/>
      <c r="I62" s="358">
        <v>0</v>
      </c>
      <c r="J62" s="358">
        <v>0</v>
      </c>
      <c r="K62" s="358">
        <v>0</v>
      </c>
      <c r="L62" s="359">
        <f t="shared" si="2"/>
        <v>0</v>
      </c>
      <c r="M62" s="363">
        <f t="shared" si="3"/>
        <v>0</v>
      </c>
      <c r="N62" s="348"/>
      <c r="O62" s="348"/>
      <c r="P62" s="348"/>
      <c r="Q62" s="336"/>
      <c r="R62" s="336"/>
      <c r="S62" s="336"/>
      <c r="T62" s="336"/>
      <c r="U62" s="336"/>
      <c r="V62" s="336"/>
      <c r="W62" s="336"/>
      <c r="X62" s="336"/>
      <c r="Y62" s="336"/>
      <c r="Z62" s="336"/>
      <c r="AA62" s="336"/>
      <c r="AB62" s="336"/>
      <c r="AC62" s="336"/>
      <c r="AD62" s="336"/>
      <c r="AE62" s="336"/>
      <c r="AF62" s="336"/>
      <c r="AG62" s="336"/>
      <c r="AH62" s="336"/>
      <c r="AI62" s="336"/>
      <c r="AJ62" s="336"/>
      <c r="AK62" s="336"/>
      <c r="AL62" s="336"/>
      <c r="AM62" s="336"/>
      <c r="AN62" s="336"/>
      <c r="AO62" s="336"/>
    </row>
    <row r="63" spans="1:41">
      <c r="A63" s="369" t="s">
        <v>237</v>
      </c>
      <c r="B63" s="354" t="s">
        <v>238</v>
      </c>
      <c r="C63" s="355">
        <v>8</v>
      </c>
      <c r="D63" s="356" t="s">
        <v>121</v>
      </c>
      <c r="E63" s="362">
        <v>0.1188</v>
      </c>
      <c r="F63" s="362">
        <v>0.05</v>
      </c>
      <c r="G63" s="356"/>
      <c r="H63" s="336"/>
      <c r="I63" s="358">
        <v>0</v>
      </c>
      <c r="J63" s="358">
        <v>0</v>
      </c>
      <c r="K63" s="358">
        <v>0</v>
      </c>
      <c r="L63" s="359">
        <f t="shared" si="2"/>
        <v>0</v>
      </c>
      <c r="M63" s="363">
        <f t="shared" si="3"/>
        <v>0</v>
      </c>
      <c r="N63" s="348"/>
      <c r="O63" s="348"/>
      <c r="P63" s="348"/>
      <c r="Q63" s="336"/>
      <c r="R63" s="336"/>
      <c r="S63" s="336"/>
      <c r="T63" s="336"/>
      <c r="U63" s="336"/>
      <c r="V63" s="336"/>
      <c r="W63" s="336"/>
      <c r="X63" s="336"/>
      <c r="Y63" s="336"/>
      <c r="Z63" s="336"/>
      <c r="AA63" s="336"/>
      <c r="AB63" s="336"/>
      <c r="AC63" s="336"/>
      <c r="AD63" s="336"/>
      <c r="AE63" s="336"/>
      <c r="AF63" s="336"/>
      <c r="AG63" s="336"/>
      <c r="AH63" s="336"/>
      <c r="AI63" s="336"/>
      <c r="AJ63" s="336"/>
      <c r="AK63" s="336"/>
      <c r="AL63" s="336"/>
      <c r="AM63" s="336"/>
      <c r="AN63" s="336"/>
      <c r="AO63" s="336"/>
    </row>
    <row r="64" spans="1:41">
      <c r="A64" s="369" t="s">
        <v>239</v>
      </c>
      <c r="B64" s="354" t="s">
        <v>240</v>
      </c>
      <c r="C64" s="355">
        <v>6</v>
      </c>
      <c r="D64" s="356" t="s">
        <v>121</v>
      </c>
      <c r="E64" s="362">
        <v>0.1583</v>
      </c>
      <c r="F64" s="362">
        <v>0.05</v>
      </c>
      <c r="G64" s="356"/>
      <c r="H64" s="336"/>
      <c r="I64" s="358">
        <v>0</v>
      </c>
      <c r="J64" s="358">
        <v>0</v>
      </c>
      <c r="K64" s="358">
        <v>0</v>
      </c>
      <c r="L64" s="359">
        <f t="shared" si="2"/>
        <v>0</v>
      </c>
      <c r="M64" s="363">
        <f t="shared" si="3"/>
        <v>0</v>
      </c>
      <c r="N64" s="348"/>
      <c r="O64" s="348"/>
      <c r="P64" s="348"/>
      <c r="Q64" s="336"/>
      <c r="R64" s="336"/>
      <c r="S64" s="336"/>
      <c r="T64" s="336"/>
      <c r="U64" s="336"/>
      <c r="V64" s="336"/>
      <c r="W64" s="336"/>
      <c r="X64" s="336"/>
      <c r="Y64" s="336"/>
      <c r="Z64" s="336"/>
      <c r="AA64" s="336"/>
      <c r="AB64" s="336"/>
      <c r="AC64" s="336"/>
      <c r="AD64" s="336"/>
      <c r="AE64" s="336"/>
      <c r="AF64" s="336"/>
      <c r="AG64" s="336"/>
      <c r="AH64" s="336"/>
      <c r="AI64" s="336"/>
      <c r="AJ64" s="336"/>
      <c r="AK64" s="336"/>
      <c r="AL64" s="336"/>
      <c r="AM64" s="336"/>
      <c r="AN64" s="336"/>
      <c r="AO64" s="336"/>
    </row>
    <row r="65" spans="1:41">
      <c r="A65" s="370" t="s">
        <v>241</v>
      </c>
      <c r="B65" s="354" t="s">
        <v>242</v>
      </c>
      <c r="C65" s="355">
        <v>7</v>
      </c>
      <c r="D65" s="356" t="s">
        <v>121</v>
      </c>
      <c r="E65" s="362">
        <v>0.1357</v>
      </c>
      <c r="F65" s="362">
        <v>0.05</v>
      </c>
      <c r="G65" s="356"/>
      <c r="H65" s="336"/>
      <c r="I65" s="358">
        <v>0</v>
      </c>
      <c r="J65" s="358">
        <v>0</v>
      </c>
      <c r="K65" s="358">
        <v>0</v>
      </c>
      <c r="L65" s="359">
        <f t="shared" si="2"/>
        <v>0</v>
      </c>
      <c r="M65" s="363">
        <f t="shared" si="3"/>
        <v>0</v>
      </c>
      <c r="N65" s="348"/>
      <c r="O65" s="348"/>
      <c r="P65" s="348"/>
      <c r="Q65" s="336"/>
      <c r="R65" s="336"/>
      <c r="S65" s="336"/>
      <c r="T65" s="336"/>
      <c r="U65" s="336"/>
      <c r="V65" s="336"/>
      <c r="W65" s="336"/>
      <c r="X65" s="336"/>
      <c r="Y65" s="336"/>
      <c r="Z65" s="336"/>
      <c r="AA65" s="336"/>
      <c r="AB65" s="336"/>
      <c r="AC65" s="336"/>
      <c r="AD65" s="336"/>
      <c r="AE65" s="336"/>
      <c r="AF65" s="336"/>
      <c r="AG65" s="336"/>
      <c r="AH65" s="336"/>
      <c r="AI65" s="336"/>
      <c r="AJ65" s="336"/>
      <c r="AK65" s="336"/>
      <c r="AL65" s="336"/>
      <c r="AM65" s="336"/>
      <c r="AN65" s="336"/>
      <c r="AO65" s="336"/>
    </row>
    <row r="66" spans="1:41">
      <c r="A66" s="370" t="s">
        <v>243</v>
      </c>
      <c r="B66" s="354" t="s">
        <v>244</v>
      </c>
      <c r="C66" s="355"/>
      <c r="D66" s="356"/>
      <c r="E66" s="357"/>
      <c r="F66" s="357"/>
      <c r="G66" s="356"/>
      <c r="H66" s="336"/>
      <c r="I66" s="358">
        <v>0</v>
      </c>
      <c r="J66" s="358">
        <v>0</v>
      </c>
      <c r="K66" s="358">
        <v>0</v>
      </c>
      <c r="L66" s="359"/>
      <c r="M66" s="363"/>
      <c r="N66" s="348"/>
      <c r="O66" s="348"/>
      <c r="P66" s="348"/>
      <c r="Q66" s="336"/>
      <c r="R66" s="336"/>
      <c r="S66" s="336"/>
      <c r="T66" s="336"/>
      <c r="U66" s="336"/>
      <c r="V66" s="336"/>
      <c r="W66" s="336"/>
      <c r="X66" s="336"/>
      <c r="Y66" s="336"/>
      <c r="Z66" s="336"/>
      <c r="AA66" s="336"/>
      <c r="AB66" s="336"/>
      <c r="AC66" s="336"/>
      <c r="AD66" s="336"/>
      <c r="AE66" s="336"/>
      <c r="AF66" s="336"/>
      <c r="AG66" s="336"/>
      <c r="AH66" s="336"/>
      <c r="AI66" s="336"/>
      <c r="AJ66" s="336"/>
      <c r="AK66" s="336"/>
      <c r="AL66" s="336"/>
      <c r="AM66" s="336"/>
      <c r="AN66" s="336"/>
      <c r="AO66" s="336"/>
    </row>
    <row r="67" spans="1:41">
      <c r="A67" s="369" t="s">
        <v>245</v>
      </c>
      <c r="B67" s="354" t="s">
        <v>246</v>
      </c>
      <c r="C67" s="374">
        <v>12</v>
      </c>
      <c r="D67" s="356" t="s">
        <v>121</v>
      </c>
      <c r="E67" s="362">
        <v>0.0317</v>
      </c>
      <c r="F67" s="362">
        <v>0.05</v>
      </c>
      <c r="G67" s="356"/>
      <c r="H67" s="336"/>
      <c r="I67" s="358">
        <f>静态总投!E7</f>
        <v>1200</v>
      </c>
      <c r="J67" s="358">
        <f>静态总投!E8</f>
        <v>300</v>
      </c>
      <c r="K67" s="358">
        <v>0</v>
      </c>
      <c r="L67" s="359">
        <f>(I67+K67)/1.13+J67/1.09</f>
        <v>1337.17626045303</v>
      </c>
      <c r="M67" s="363">
        <f>L67*(1-F67)/C67</f>
        <v>105.859787285865</v>
      </c>
      <c r="N67" s="367" t="s">
        <v>247</v>
      </c>
      <c r="O67" s="348"/>
      <c r="P67" s="348"/>
      <c r="Q67" s="336"/>
      <c r="R67" s="336"/>
      <c r="S67" s="336"/>
      <c r="T67" s="336"/>
      <c r="U67" s="336"/>
      <c r="V67" s="336"/>
      <c r="W67" s="336"/>
      <c r="X67" s="336"/>
      <c r="Y67" s="336"/>
      <c r="Z67" s="336"/>
      <c r="AA67" s="336"/>
      <c r="AB67" s="336"/>
      <c r="AC67" s="336"/>
      <c r="AD67" s="336"/>
      <c r="AE67" s="336"/>
      <c r="AF67" s="336"/>
      <c r="AG67" s="336"/>
      <c r="AH67" s="336"/>
      <c r="AI67" s="336"/>
      <c r="AJ67" s="336"/>
      <c r="AK67" s="336"/>
      <c r="AL67" s="336"/>
      <c r="AM67" s="336"/>
      <c r="AN67" s="336"/>
      <c r="AO67" s="336"/>
    </row>
    <row r="68" spans="1:41">
      <c r="A68" s="369" t="s">
        <v>248</v>
      </c>
      <c r="B68" s="354" t="s">
        <v>249</v>
      </c>
      <c r="C68" s="355"/>
      <c r="D68" s="356"/>
      <c r="E68" s="362"/>
      <c r="F68" s="362"/>
      <c r="G68" s="356"/>
      <c r="H68" s="336"/>
      <c r="I68" s="358">
        <v>0</v>
      </c>
      <c r="J68" s="358">
        <v>0</v>
      </c>
      <c r="K68" s="358">
        <v>0</v>
      </c>
      <c r="L68" s="359">
        <f t="shared" ref="L68:L75" si="4">(I68+K68)/1.13+J68/1.09</f>
        <v>0</v>
      </c>
      <c r="M68" s="363"/>
      <c r="N68" s="348"/>
      <c r="O68" s="348"/>
      <c r="P68" s="348"/>
      <c r="Q68" s="336"/>
      <c r="R68" s="336"/>
      <c r="S68" s="336"/>
      <c r="T68" s="336"/>
      <c r="U68" s="336"/>
      <c r="V68" s="336"/>
      <c r="W68" s="336"/>
      <c r="X68" s="336"/>
      <c r="Y68" s="336"/>
      <c r="Z68" s="336"/>
      <c r="AA68" s="336"/>
      <c r="AB68" s="336"/>
      <c r="AC68" s="336"/>
      <c r="AD68" s="336"/>
      <c r="AE68" s="336"/>
      <c r="AF68" s="336"/>
      <c r="AG68" s="336"/>
      <c r="AH68" s="336"/>
      <c r="AI68" s="336"/>
      <c r="AJ68" s="336"/>
      <c r="AK68" s="336"/>
      <c r="AL68" s="336"/>
      <c r="AM68" s="336"/>
      <c r="AN68" s="336"/>
      <c r="AO68" s="336"/>
    </row>
    <row r="69" spans="1:41">
      <c r="A69" s="369" t="s">
        <v>250</v>
      </c>
      <c r="B69" s="354" t="s">
        <v>251</v>
      </c>
      <c r="C69" s="355"/>
      <c r="D69" s="356"/>
      <c r="E69" s="362"/>
      <c r="F69" s="362"/>
      <c r="G69" s="356"/>
      <c r="H69" s="336"/>
      <c r="I69" s="358">
        <v>0</v>
      </c>
      <c r="J69" s="358">
        <v>0</v>
      </c>
      <c r="K69" s="358">
        <v>0</v>
      </c>
      <c r="L69" s="359">
        <f t="shared" si="4"/>
        <v>0</v>
      </c>
      <c r="M69" s="363"/>
      <c r="N69" s="348"/>
      <c r="O69" s="348"/>
      <c r="P69" s="348"/>
      <c r="Q69" s="336"/>
      <c r="R69" s="336"/>
      <c r="S69" s="336"/>
      <c r="T69" s="336"/>
      <c r="U69" s="336"/>
      <c r="V69" s="336"/>
      <c r="W69" s="336"/>
      <c r="X69" s="336"/>
      <c r="Y69" s="336"/>
      <c r="Z69" s="336"/>
      <c r="AA69" s="336"/>
      <c r="AB69" s="336"/>
      <c r="AC69" s="336"/>
      <c r="AD69" s="336"/>
      <c r="AE69" s="336"/>
      <c r="AF69" s="336"/>
      <c r="AG69" s="336"/>
      <c r="AH69" s="336"/>
      <c r="AI69" s="336"/>
      <c r="AJ69" s="336"/>
      <c r="AK69" s="336"/>
      <c r="AL69" s="336"/>
      <c r="AM69" s="336"/>
      <c r="AN69" s="336"/>
      <c r="AO69" s="336"/>
    </row>
    <row r="70" spans="1:41">
      <c r="A70" s="361" t="s">
        <v>252</v>
      </c>
      <c r="B70" s="354" t="s">
        <v>253</v>
      </c>
      <c r="C70" s="355"/>
      <c r="D70" s="356"/>
      <c r="E70" s="362"/>
      <c r="F70" s="362"/>
      <c r="G70" s="356"/>
      <c r="H70" s="336"/>
      <c r="I70" s="358">
        <v>0</v>
      </c>
      <c r="J70" s="358">
        <v>0</v>
      </c>
      <c r="K70" s="358">
        <v>0</v>
      </c>
      <c r="L70" s="359">
        <f t="shared" si="4"/>
        <v>0</v>
      </c>
      <c r="M70" s="363"/>
      <c r="N70" s="348"/>
      <c r="O70" s="348"/>
      <c r="P70" s="348"/>
      <c r="Q70" s="336"/>
      <c r="R70" s="336"/>
      <c r="S70" s="336"/>
      <c r="T70" s="336"/>
      <c r="U70" s="336"/>
      <c r="V70" s="336"/>
      <c r="W70" s="336"/>
      <c r="X70" s="336"/>
      <c r="Y70" s="336"/>
      <c r="Z70" s="336"/>
      <c r="AA70" s="336"/>
      <c r="AB70" s="336"/>
      <c r="AC70" s="336"/>
      <c r="AD70" s="336"/>
      <c r="AE70" s="336"/>
      <c r="AF70" s="336"/>
      <c r="AG70" s="336"/>
      <c r="AH70" s="336"/>
      <c r="AI70" s="336"/>
      <c r="AJ70" s="336"/>
      <c r="AK70" s="336"/>
      <c r="AL70" s="336"/>
      <c r="AM70" s="336"/>
      <c r="AN70" s="336"/>
      <c r="AO70" s="336"/>
    </row>
    <row r="71" spans="1:41">
      <c r="A71" s="353" t="s">
        <v>254</v>
      </c>
      <c r="B71" s="354" t="s">
        <v>255</v>
      </c>
      <c r="C71" s="355"/>
      <c r="D71" s="356"/>
      <c r="E71" s="357"/>
      <c r="F71" s="357"/>
      <c r="G71" s="356"/>
      <c r="H71" s="336"/>
      <c r="I71" s="358">
        <v>0</v>
      </c>
      <c r="J71" s="358">
        <v>0</v>
      </c>
      <c r="K71" s="358">
        <v>0</v>
      </c>
      <c r="L71" s="359">
        <f t="shared" si="4"/>
        <v>0</v>
      </c>
      <c r="M71" s="363"/>
      <c r="N71" s="348"/>
      <c r="O71" s="348"/>
      <c r="P71" s="348"/>
      <c r="Q71" s="336"/>
      <c r="R71" s="336"/>
      <c r="S71" s="336"/>
      <c r="T71" s="336"/>
      <c r="U71" s="336"/>
      <c r="V71" s="336"/>
      <c r="W71" s="336"/>
      <c r="X71" s="336"/>
      <c r="Y71" s="336"/>
      <c r="Z71" s="336"/>
      <c r="AA71" s="336"/>
      <c r="AB71" s="336"/>
      <c r="AC71" s="336"/>
      <c r="AD71" s="336"/>
      <c r="AE71" s="336"/>
      <c r="AF71" s="336"/>
      <c r="AG71" s="336"/>
      <c r="AH71" s="336"/>
      <c r="AI71" s="336"/>
      <c r="AJ71" s="336"/>
      <c r="AK71" s="336"/>
      <c r="AL71" s="336"/>
      <c r="AM71" s="336"/>
      <c r="AN71" s="336"/>
      <c r="AO71" s="336"/>
    </row>
    <row r="72" spans="1:41">
      <c r="A72" s="369" t="s">
        <v>256</v>
      </c>
      <c r="B72" s="354" t="s">
        <v>257</v>
      </c>
      <c r="C72" s="375"/>
      <c r="D72" s="354"/>
      <c r="E72" s="376"/>
      <c r="F72" s="376"/>
      <c r="G72" s="354"/>
      <c r="H72" s="336"/>
      <c r="I72" s="358">
        <v>0</v>
      </c>
      <c r="J72" s="358">
        <v>0</v>
      </c>
      <c r="K72" s="358">
        <v>0</v>
      </c>
      <c r="L72" s="359">
        <f t="shared" si="4"/>
        <v>0</v>
      </c>
      <c r="M72" s="363"/>
      <c r="N72" s="348"/>
      <c r="O72" s="348"/>
      <c r="P72" s="348"/>
      <c r="Q72" s="336"/>
      <c r="R72" s="336"/>
      <c r="S72" s="336"/>
      <c r="T72" s="336"/>
      <c r="U72" s="336"/>
      <c r="V72" s="336"/>
      <c r="W72" s="336"/>
      <c r="X72" s="336"/>
      <c r="Y72" s="336"/>
      <c r="Z72" s="336"/>
      <c r="AA72" s="336"/>
      <c r="AB72" s="336"/>
      <c r="AC72" s="336"/>
      <c r="AD72" s="336"/>
      <c r="AE72" s="336"/>
      <c r="AF72" s="336"/>
      <c r="AG72" s="336"/>
      <c r="AH72" s="336"/>
      <c r="AI72" s="336"/>
      <c r="AJ72" s="336"/>
      <c r="AK72" s="336"/>
      <c r="AL72" s="336"/>
      <c r="AM72" s="336"/>
      <c r="AN72" s="336"/>
      <c r="AO72" s="336"/>
    </row>
    <row r="73" spans="1:41">
      <c r="A73" s="369" t="s">
        <v>258</v>
      </c>
      <c r="B73" s="354" t="s">
        <v>259</v>
      </c>
      <c r="C73" s="375">
        <v>20</v>
      </c>
      <c r="D73" s="354" t="s">
        <v>121</v>
      </c>
      <c r="E73" s="376">
        <v>0.0475</v>
      </c>
      <c r="F73" s="376">
        <v>0.05</v>
      </c>
      <c r="G73" s="354"/>
      <c r="H73" s="336"/>
      <c r="I73" s="358">
        <v>0</v>
      </c>
      <c r="J73" s="358">
        <v>0</v>
      </c>
      <c r="K73" s="358">
        <v>0</v>
      </c>
      <c r="L73" s="359">
        <f t="shared" si="4"/>
        <v>0</v>
      </c>
      <c r="M73" s="363">
        <f>L73*(1-F73)/C73</f>
        <v>0</v>
      </c>
      <c r="N73" s="348"/>
      <c r="O73" s="348"/>
      <c r="P73" s="348"/>
      <c r="Q73" s="336"/>
      <c r="R73" s="336"/>
      <c r="S73" s="336"/>
      <c r="T73" s="336"/>
      <c r="U73" s="336"/>
      <c r="V73" s="336"/>
      <c r="W73" s="336"/>
      <c r="X73" s="336"/>
      <c r="Y73" s="336"/>
      <c r="Z73" s="336"/>
      <c r="AA73" s="336"/>
      <c r="AB73" s="336"/>
      <c r="AC73" s="336"/>
      <c r="AD73" s="336"/>
      <c r="AE73" s="336"/>
      <c r="AF73" s="336"/>
      <c r="AG73" s="336"/>
      <c r="AH73" s="336"/>
      <c r="AI73" s="336"/>
      <c r="AJ73" s="336"/>
      <c r="AK73" s="336"/>
      <c r="AL73" s="336"/>
      <c r="AM73" s="336"/>
      <c r="AN73" s="336"/>
      <c r="AO73" s="336"/>
    </row>
    <row r="74" spans="1:41">
      <c r="A74" s="369" t="s">
        <v>260</v>
      </c>
      <c r="B74" s="354" t="s">
        <v>261</v>
      </c>
      <c r="C74" s="375">
        <v>10</v>
      </c>
      <c r="D74" s="354" t="s">
        <v>121</v>
      </c>
      <c r="E74" s="376">
        <v>0.0475</v>
      </c>
      <c r="F74" s="376">
        <v>0.05</v>
      </c>
      <c r="G74" s="354"/>
      <c r="H74" s="336"/>
      <c r="I74" s="358">
        <v>0</v>
      </c>
      <c r="J74" s="358">
        <v>0</v>
      </c>
      <c r="K74" s="358">
        <v>0</v>
      </c>
      <c r="L74" s="359">
        <f t="shared" si="4"/>
        <v>0</v>
      </c>
      <c r="M74" s="363">
        <f>L74*(1-F74)/C74</f>
        <v>0</v>
      </c>
      <c r="N74" s="348"/>
      <c r="O74" s="348"/>
      <c r="P74" s="348"/>
      <c r="Q74" s="336"/>
      <c r="R74" s="336"/>
      <c r="S74" s="336"/>
      <c r="T74" s="336"/>
      <c r="U74" s="336"/>
      <c r="V74" s="336"/>
      <c r="W74" s="336"/>
      <c r="X74" s="336"/>
      <c r="Y74" s="336"/>
      <c r="Z74" s="336"/>
      <c r="AA74" s="336"/>
      <c r="AB74" s="336"/>
      <c r="AC74" s="336"/>
      <c r="AD74" s="336"/>
      <c r="AE74" s="336"/>
      <c r="AF74" s="336"/>
      <c r="AG74" s="336"/>
      <c r="AH74" s="336"/>
      <c r="AI74" s="336"/>
      <c r="AJ74" s="336"/>
      <c r="AK74" s="336"/>
      <c r="AL74" s="336"/>
      <c r="AM74" s="336"/>
      <c r="AN74" s="336"/>
      <c r="AO74" s="336"/>
    </row>
    <row r="75" ht="28" spans="1:41">
      <c r="A75" s="353" t="s">
        <v>262</v>
      </c>
      <c r="B75" s="354" t="s">
        <v>263</v>
      </c>
      <c r="C75" s="375">
        <v>12</v>
      </c>
      <c r="D75" s="376" t="s">
        <v>121</v>
      </c>
      <c r="E75" s="376">
        <v>0.0475</v>
      </c>
      <c r="F75" s="376">
        <v>0.05</v>
      </c>
      <c r="G75" s="376"/>
      <c r="H75" s="336"/>
      <c r="I75" s="377">
        <v>0</v>
      </c>
      <c r="J75" s="377">
        <v>0</v>
      </c>
      <c r="K75" s="358">
        <f>静态总投!E12+静态总投!E38+静态总投!E49</f>
        <v>2286.2586</v>
      </c>
      <c r="L75" s="359">
        <f>K75</f>
        <v>2286.2586</v>
      </c>
      <c r="M75" s="363">
        <f>L75*(1-F75)/C75</f>
        <v>180.9954725</v>
      </c>
      <c r="N75" s="364" t="s">
        <v>264</v>
      </c>
      <c r="O75" s="348"/>
      <c r="P75" s="348"/>
      <c r="Q75" s="336"/>
      <c r="R75" s="336"/>
      <c r="S75" s="336"/>
      <c r="T75" s="336"/>
      <c r="U75" s="336"/>
      <c r="V75" s="336"/>
      <c r="W75" s="336"/>
      <c r="X75" s="336"/>
      <c r="Y75" s="336"/>
      <c r="Z75" s="336"/>
      <c r="AA75" s="336"/>
      <c r="AB75" s="336"/>
      <c r="AC75" s="336"/>
      <c r="AD75" s="336"/>
      <c r="AE75" s="336"/>
      <c r="AF75" s="336"/>
      <c r="AG75" s="336"/>
      <c r="AH75" s="336"/>
      <c r="AI75" s="336"/>
      <c r="AJ75" s="336"/>
      <c r="AK75" s="336"/>
      <c r="AL75" s="336"/>
      <c r="AM75" s="336"/>
      <c r="AN75" s="336"/>
      <c r="AO75" s="336"/>
    </row>
    <row r="76" ht="15.75" spans="1:41">
      <c r="A76" s="378" t="s">
        <v>265</v>
      </c>
      <c r="B76" s="354" t="s">
        <v>266</v>
      </c>
      <c r="C76" s="379">
        <v>12</v>
      </c>
      <c r="D76" s="380" t="s">
        <v>121</v>
      </c>
      <c r="E76" s="380">
        <v>0.0475</v>
      </c>
      <c r="F76" s="380">
        <v>0.05</v>
      </c>
      <c r="G76" s="380"/>
      <c r="H76" s="336"/>
      <c r="I76" s="377" t="s">
        <v>62</v>
      </c>
      <c r="J76" s="377" t="s">
        <v>62</v>
      </c>
      <c r="K76" s="377" t="s">
        <v>62</v>
      </c>
      <c r="L76" s="381">
        <f>'表1-投资计划与资金筹措表'!E8</f>
        <v>190.1551032</v>
      </c>
      <c r="M76" s="382">
        <f>L76*(1-F76)/C76</f>
        <v>15.05394567</v>
      </c>
      <c r="N76" s="348"/>
      <c r="O76" s="348"/>
      <c r="P76" s="348"/>
      <c r="Q76" s="336"/>
      <c r="R76" s="336"/>
      <c r="S76" s="336"/>
      <c r="T76" s="336"/>
      <c r="U76" s="336"/>
      <c r="V76" s="336"/>
      <c r="W76" s="336"/>
      <c r="X76" s="336"/>
      <c r="Y76" s="336"/>
      <c r="Z76" s="336"/>
      <c r="AA76" s="336"/>
      <c r="AB76" s="336"/>
      <c r="AC76" s="336"/>
      <c r="AD76" s="336"/>
      <c r="AE76" s="336"/>
      <c r="AF76" s="336"/>
      <c r="AG76" s="336"/>
      <c r="AH76" s="336"/>
      <c r="AI76" s="336"/>
      <c r="AJ76" s="336"/>
      <c r="AK76" s="336"/>
      <c r="AL76" s="336"/>
      <c r="AM76" s="336"/>
      <c r="AN76" s="336"/>
      <c r="AO76" s="336"/>
    </row>
    <row r="77" spans="1:41">
      <c r="A77" s="336"/>
      <c r="B77" s="336"/>
      <c r="C77" s="336"/>
      <c r="D77" s="336"/>
      <c r="E77" s="336"/>
      <c r="F77" s="336"/>
      <c r="G77" s="336"/>
      <c r="H77" s="336"/>
      <c r="I77" s="353" t="s">
        <v>267</v>
      </c>
      <c r="J77" s="374">
        <f>SUM(I5:K76)+L76</f>
        <v>16036.4137032</v>
      </c>
      <c r="K77" s="353" t="s">
        <v>268</v>
      </c>
      <c r="L77" s="374">
        <f>SUM(L5:L76)</f>
        <v>14517.3327581647</v>
      </c>
      <c r="M77" s="383"/>
      <c r="N77" s="384" t="s">
        <v>269</v>
      </c>
      <c r="O77" s="385">
        <f>L77*0.95</f>
        <v>13791.4661202565</v>
      </c>
      <c r="P77" s="373">
        <f>SUM(I5:K76)</f>
        <v>15846.2586</v>
      </c>
      <c r="Q77" s="336"/>
      <c r="R77" s="336"/>
      <c r="S77" s="336"/>
      <c r="T77" s="336"/>
      <c r="U77" s="336"/>
      <c r="V77" s="336"/>
      <c r="W77" s="336"/>
      <c r="X77" s="336"/>
      <c r="Y77" s="336"/>
      <c r="Z77" s="336"/>
      <c r="AA77" s="336"/>
      <c r="AB77" s="336"/>
      <c r="AC77" s="336"/>
      <c r="AD77" s="336"/>
      <c r="AE77" s="336"/>
      <c r="AF77" s="336"/>
      <c r="AG77" s="336"/>
      <c r="AH77" s="336"/>
      <c r="AI77" s="336"/>
    </row>
    <row r="78" ht="15.75" spans="1:41">
      <c r="A78" s="336"/>
      <c r="B78" s="336"/>
      <c r="C78" s="336"/>
      <c r="D78" s="336"/>
      <c r="E78" s="336"/>
      <c r="F78" s="336"/>
      <c r="G78" s="336"/>
      <c r="H78" s="336"/>
      <c r="I78" s="348"/>
      <c r="J78" s="348"/>
      <c r="K78" s="348"/>
      <c r="L78" s="348"/>
      <c r="M78" s="348"/>
      <c r="N78" s="386" t="s">
        <v>270</v>
      </c>
      <c r="O78" s="387">
        <f>J77-L77</f>
        <v>1519.08094503532</v>
      </c>
      <c r="P78" s="348"/>
      <c r="Q78" s="336"/>
      <c r="R78" s="336"/>
      <c r="S78" s="336"/>
      <c r="T78" s="336"/>
      <c r="U78" s="336"/>
      <c r="V78" s="336"/>
      <c r="W78" s="336"/>
      <c r="X78" s="336"/>
      <c r="Y78" s="336"/>
      <c r="Z78" s="336"/>
      <c r="AA78" s="336"/>
      <c r="AB78" s="336"/>
      <c r="AC78" s="336"/>
      <c r="AD78" s="336"/>
      <c r="AE78" s="336"/>
      <c r="AF78" s="336"/>
      <c r="AG78" s="336"/>
      <c r="AH78" s="336"/>
      <c r="AI78" s="336"/>
    </row>
    <row r="79" spans="1:41">
      <c r="A79" s="336"/>
      <c r="B79" s="336"/>
      <c r="C79" s="336"/>
      <c r="D79" s="336"/>
      <c r="E79" s="336"/>
      <c r="F79" s="336"/>
      <c r="G79" s="336"/>
      <c r="H79" s="336"/>
      <c r="I79" s="388" t="s">
        <v>271</v>
      </c>
      <c r="J79" s="389" t="s">
        <v>272</v>
      </c>
      <c r="K79" s="389" t="s">
        <v>273</v>
      </c>
      <c r="L79" s="389" t="s">
        <v>274</v>
      </c>
      <c r="M79" s="389" t="s">
        <v>275</v>
      </c>
      <c r="N79" s="389" t="s">
        <v>276</v>
      </c>
      <c r="O79" s="389" t="s">
        <v>277</v>
      </c>
      <c r="P79" s="389" t="s">
        <v>278</v>
      </c>
      <c r="Q79" s="389" t="s">
        <v>279</v>
      </c>
      <c r="R79" s="390" t="s">
        <v>269</v>
      </c>
      <c r="S79" s="336"/>
      <c r="T79" s="336"/>
      <c r="U79" s="336"/>
      <c r="V79" s="336"/>
      <c r="W79" s="336"/>
      <c r="X79" s="336"/>
      <c r="Y79" s="336"/>
      <c r="Z79" s="336"/>
      <c r="AA79" s="336"/>
      <c r="AB79" s="336"/>
      <c r="AC79" s="336"/>
      <c r="AD79" s="336"/>
      <c r="AE79" s="336"/>
      <c r="AF79" s="336"/>
      <c r="AG79" s="336"/>
      <c r="AH79" s="336"/>
      <c r="AI79" s="336"/>
    </row>
    <row r="80" ht="15.75" spans="1:41">
      <c r="A80" s="336"/>
      <c r="B80" s="336"/>
      <c r="C80" s="336"/>
      <c r="D80" s="336"/>
      <c r="E80" s="336"/>
      <c r="F80" s="336"/>
      <c r="G80" s="336"/>
      <c r="H80" s="336"/>
      <c r="I80" s="391">
        <f>M6+M9+M45+M67+M75+M76</f>
        <v>1149.2888433547</v>
      </c>
      <c r="J80" s="392">
        <f>I80</f>
        <v>1149.2888433547</v>
      </c>
      <c r="K80" s="392">
        <f>J80</f>
        <v>1149.2888433547</v>
      </c>
      <c r="L80" s="392">
        <f>K80</f>
        <v>1149.2888433547</v>
      </c>
      <c r="M80" s="392">
        <f>L80</f>
        <v>1149.2888433547</v>
      </c>
      <c r="N80" s="392">
        <f>M6+M9+M45+M67+M75+M76</f>
        <v>1149.2888433547</v>
      </c>
      <c r="O80" s="392"/>
      <c r="P80" s="392"/>
      <c r="Q80" s="391"/>
      <c r="R80" s="393">
        <f>I80*5+J80+K80+L80+M80*2+N80*2+O80*6+P80*2+Q80*10</f>
        <v>13791.4661202564</v>
      </c>
      <c r="S80" s="336"/>
      <c r="T80" s="336"/>
      <c r="U80" s="336"/>
      <c r="V80" s="336"/>
      <c r="W80" s="336"/>
      <c r="X80" s="336"/>
      <c r="Y80" s="336"/>
      <c r="Z80" s="336"/>
      <c r="AA80" s="336"/>
      <c r="AB80" s="336"/>
      <c r="AC80" s="336"/>
      <c r="AD80" s="336"/>
      <c r="AE80" s="336"/>
      <c r="AF80" s="336"/>
      <c r="AG80" s="336"/>
      <c r="AH80" s="336"/>
      <c r="AI80" s="336"/>
    </row>
    <row r="81" spans="1:35">
      <c r="A81" s="336"/>
      <c r="B81" s="336"/>
      <c r="C81" s="336"/>
      <c r="D81" s="336"/>
      <c r="E81" s="336"/>
      <c r="F81" s="336"/>
      <c r="G81" s="336"/>
      <c r="H81" s="336"/>
      <c r="I81" s="394"/>
      <c r="J81" s="394"/>
      <c r="K81" s="394"/>
      <c r="L81" s="394"/>
      <c r="M81" s="394"/>
      <c r="N81" s="394"/>
      <c r="O81" s="394"/>
      <c r="P81" s="348"/>
      <c r="Q81" s="336"/>
      <c r="R81" s="395">
        <f>R80-O77</f>
        <v>0</v>
      </c>
      <c r="S81" s="336"/>
      <c r="T81" s="336"/>
      <c r="U81" s="336"/>
      <c r="V81" s="336"/>
      <c r="W81" s="336"/>
      <c r="X81" s="336"/>
      <c r="Y81" s="336"/>
      <c r="Z81" s="336"/>
      <c r="AA81" s="336"/>
      <c r="AB81" s="336"/>
      <c r="AC81" s="336"/>
      <c r="AD81" s="336"/>
      <c r="AE81" s="336"/>
      <c r="AF81" s="336"/>
      <c r="AG81" s="336"/>
      <c r="AH81" s="336"/>
      <c r="AI81" s="336"/>
    </row>
    <row r="82" spans="1:35">
      <c r="A82" s="336"/>
      <c r="B82" s="336"/>
      <c r="C82" s="336"/>
      <c r="D82" s="336"/>
      <c r="E82" s="336"/>
      <c r="F82" s="336"/>
      <c r="G82" s="336"/>
      <c r="H82" s="336"/>
      <c r="I82" s="396" t="s">
        <v>280</v>
      </c>
      <c r="J82" s="394"/>
      <c r="K82" s="394"/>
      <c r="L82" s="394"/>
      <c r="M82" s="394"/>
      <c r="N82" s="394"/>
      <c r="O82" s="394"/>
      <c r="P82" s="348"/>
      <c r="Q82" s="336"/>
      <c r="R82" s="336"/>
      <c r="S82" s="336"/>
      <c r="T82" s="336"/>
      <c r="U82" s="336"/>
      <c r="V82" s="336"/>
      <c r="W82" s="336"/>
      <c r="X82" s="336"/>
      <c r="Y82" s="336"/>
      <c r="Z82" s="336"/>
      <c r="AA82" s="336"/>
      <c r="AB82" s="336"/>
      <c r="AC82" s="336"/>
      <c r="AD82" s="336"/>
      <c r="AE82" s="336"/>
      <c r="AF82" s="336"/>
      <c r="AG82" s="336"/>
      <c r="AH82" s="336"/>
      <c r="AI82" s="336"/>
    </row>
    <row r="83" spans="1:35">
      <c r="A83" s="336"/>
      <c r="B83" s="336"/>
      <c r="C83" s="336"/>
      <c r="D83" s="336"/>
      <c r="E83" s="336"/>
      <c r="F83" s="336"/>
      <c r="G83" s="336"/>
      <c r="H83" s="336"/>
      <c r="I83" s="348"/>
      <c r="J83" s="348"/>
      <c r="K83" s="348"/>
      <c r="L83" s="348"/>
      <c r="M83" s="348"/>
      <c r="N83" s="348"/>
      <c r="O83" s="348"/>
      <c r="P83" s="348"/>
      <c r="Q83" s="336"/>
      <c r="R83" s="336"/>
      <c r="S83" s="336"/>
      <c r="T83" s="336"/>
      <c r="U83" s="336"/>
      <c r="V83" s="336"/>
      <c r="W83" s="336"/>
      <c r="X83" s="336"/>
      <c r="Y83" s="336"/>
      <c r="Z83" s="336"/>
      <c r="AA83" s="336"/>
      <c r="AB83" s="336"/>
      <c r="AC83" s="336"/>
      <c r="AD83" s="336"/>
      <c r="AE83" s="336"/>
      <c r="AF83" s="336"/>
      <c r="AG83" s="336"/>
      <c r="AH83" s="336"/>
      <c r="AI83" s="336"/>
    </row>
    <row r="84" spans="1:35">
      <c r="A84" s="336"/>
      <c r="B84" s="336"/>
      <c r="C84" s="336"/>
      <c r="D84" s="336"/>
      <c r="E84" s="336"/>
      <c r="F84" s="336"/>
      <c r="G84" s="336"/>
      <c r="H84" s="336"/>
      <c r="I84" s="348">
        <f>SUM(I5:I75)</f>
        <v>12300</v>
      </c>
      <c r="J84" s="348">
        <f>SUM(J5:J75)</f>
        <v>1260</v>
      </c>
      <c r="K84" s="348"/>
      <c r="L84" s="348"/>
      <c r="M84" s="348"/>
      <c r="N84" s="348"/>
      <c r="O84" s="348"/>
      <c r="P84" s="348"/>
      <c r="Q84" s="336"/>
      <c r="R84" s="336"/>
      <c r="S84" s="336"/>
      <c r="T84" s="336"/>
      <c r="U84" s="336"/>
      <c r="V84" s="336"/>
      <c r="W84" s="336"/>
      <c r="X84" s="336"/>
      <c r="Y84" s="336"/>
      <c r="Z84" s="336"/>
      <c r="AA84" s="336"/>
      <c r="AB84" s="336"/>
      <c r="AC84" s="336"/>
      <c r="AD84" s="336"/>
      <c r="AE84" s="336"/>
      <c r="AF84" s="336"/>
      <c r="AG84" s="336"/>
      <c r="AH84" s="336"/>
      <c r="AI84" s="336"/>
    </row>
    <row r="85" spans="1:35">
      <c r="A85" s="336"/>
      <c r="B85" s="336"/>
      <c r="C85" s="336"/>
      <c r="D85" s="336"/>
      <c r="E85" s="336"/>
      <c r="F85" s="336"/>
      <c r="G85" s="336"/>
      <c r="H85" s="336"/>
      <c r="I85" s="348"/>
      <c r="J85" s="348"/>
      <c r="K85" s="348"/>
      <c r="L85" s="348"/>
      <c r="M85" s="348"/>
      <c r="N85" s="348"/>
      <c r="O85" s="348"/>
      <c r="P85" s="348"/>
      <c r="Q85" s="336"/>
      <c r="R85" s="336"/>
      <c r="S85" s="336"/>
      <c r="T85" s="336"/>
      <c r="U85" s="336"/>
      <c r="V85" s="336"/>
      <c r="W85" s="336"/>
      <c r="X85" s="336"/>
      <c r="Y85" s="336"/>
      <c r="Z85" s="336"/>
      <c r="AA85" s="336"/>
      <c r="AB85" s="336"/>
      <c r="AC85" s="336"/>
      <c r="AD85" s="336"/>
      <c r="AE85" s="336"/>
      <c r="AF85" s="336"/>
      <c r="AG85" s="336"/>
      <c r="AH85" s="336"/>
      <c r="AI85" s="336"/>
    </row>
    <row r="86" spans="1:35">
      <c r="A86" s="336"/>
      <c r="B86" s="336"/>
      <c r="C86" s="336"/>
      <c r="D86" s="336"/>
      <c r="E86" s="336"/>
      <c r="F86" s="336"/>
      <c r="G86" s="336"/>
      <c r="H86" s="336"/>
      <c r="I86" s="348"/>
      <c r="J86" s="397"/>
      <c r="K86" s="348"/>
      <c r="L86" s="348"/>
      <c r="M86" s="348"/>
      <c r="N86" s="348"/>
      <c r="O86" s="348"/>
      <c r="P86" s="348"/>
      <c r="Q86" s="336"/>
      <c r="R86" s="336"/>
      <c r="S86" s="336"/>
      <c r="T86" s="336"/>
      <c r="U86" s="336"/>
      <c r="V86" s="336"/>
      <c r="W86" s="336"/>
      <c r="X86" s="336"/>
      <c r="Y86" s="336"/>
      <c r="Z86" s="336"/>
      <c r="AA86" s="336"/>
      <c r="AB86" s="336"/>
      <c r="AC86" s="336"/>
      <c r="AD86" s="336"/>
      <c r="AE86" s="336"/>
      <c r="AF86" s="336"/>
      <c r="AG86" s="336"/>
      <c r="AH86" s="336"/>
      <c r="AI86" s="336"/>
    </row>
    <row r="87" spans="1:35">
      <c r="A87" s="336"/>
      <c r="B87" s="336"/>
      <c r="C87" s="336"/>
      <c r="D87" s="336"/>
      <c r="E87" s="336"/>
      <c r="F87" s="336"/>
      <c r="G87" s="336"/>
      <c r="H87" s="336"/>
      <c r="I87" s="336"/>
      <c r="J87" s="395"/>
      <c r="K87" s="336"/>
      <c r="L87" s="336"/>
      <c r="M87" s="336"/>
      <c r="N87" s="336"/>
      <c r="O87" s="336"/>
      <c r="P87" s="336"/>
      <c r="Q87" s="336"/>
      <c r="R87" s="336"/>
      <c r="S87" s="336"/>
      <c r="T87" s="336"/>
      <c r="U87" s="336"/>
      <c r="V87" s="336"/>
      <c r="W87" s="336"/>
      <c r="X87" s="336"/>
      <c r="Y87" s="336"/>
      <c r="Z87" s="336"/>
      <c r="AA87" s="336"/>
      <c r="AB87" s="336"/>
      <c r="AC87" s="336"/>
      <c r="AD87" s="336"/>
      <c r="AE87" s="336"/>
      <c r="AF87" s="336"/>
      <c r="AG87" s="336"/>
      <c r="AH87" s="336"/>
      <c r="AI87" s="336"/>
    </row>
    <row r="88" spans="1:35">
      <c r="A88" s="336"/>
      <c r="B88" s="336"/>
      <c r="C88" s="336"/>
      <c r="D88" s="336"/>
      <c r="E88" s="336"/>
      <c r="F88" s="336"/>
      <c r="G88" s="336"/>
      <c r="H88" s="336"/>
      <c r="I88" s="336"/>
      <c r="J88" s="336"/>
      <c r="K88" s="336"/>
      <c r="L88" s="336"/>
      <c r="M88" s="336"/>
      <c r="N88" s="336"/>
      <c r="O88" s="336"/>
      <c r="P88" s="336"/>
      <c r="Q88" s="336"/>
      <c r="R88" s="336"/>
      <c r="S88" s="336"/>
      <c r="T88" s="336"/>
      <c r="U88" s="336"/>
      <c r="V88" s="336"/>
      <c r="W88" s="336"/>
      <c r="X88" s="336"/>
      <c r="Y88" s="336"/>
      <c r="Z88" s="336"/>
      <c r="AA88" s="336"/>
      <c r="AB88" s="336"/>
      <c r="AC88" s="336"/>
      <c r="AD88" s="336"/>
      <c r="AE88" s="336"/>
      <c r="AF88" s="336"/>
      <c r="AG88" s="336"/>
      <c r="AH88" s="336"/>
      <c r="AI88" s="336"/>
    </row>
    <row r="89" spans="1:35">
      <c r="A89" s="336"/>
      <c r="B89" s="336"/>
      <c r="C89" s="336"/>
      <c r="D89" s="336"/>
      <c r="E89" s="336"/>
      <c r="F89" s="336"/>
      <c r="G89" s="336"/>
      <c r="H89" s="336"/>
      <c r="I89" s="336"/>
      <c r="J89" s="336"/>
      <c r="K89" s="336"/>
      <c r="L89" s="336"/>
      <c r="M89" s="336"/>
      <c r="N89" s="336"/>
      <c r="O89" s="336"/>
      <c r="P89" s="336"/>
      <c r="Q89" s="336"/>
      <c r="R89" s="336"/>
      <c r="S89" s="336"/>
      <c r="T89" s="336"/>
      <c r="U89" s="336"/>
      <c r="V89" s="336"/>
      <c r="W89" s="336"/>
      <c r="X89" s="336"/>
      <c r="Y89" s="336"/>
      <c r="Z89" s="336"/>
      <c r="AA89" s="336"/>
      <c r="AB89" s="336"/>
      <c r="AC89" s="336"/>
      <c r="AD89" s="336"/>
      <c r="AE89" s="336"/>
      <c r="AF89" s="336"/>
      <c r="AG89" s="336"/>
      <c r="AH89" s="336"/>
      <c r="AI89" s="336"/>
    </row>
    <row r="90" spans="1:35">
      <c r="A90" s="336"/>
      <c r="B90" s="336"/>
      <c r="C90" s="336"/>
      <c r="D90" s="336"/>
      <c r="E90" s="336"/>
      <c r="F90" s="336"/>
      <c r="G90" s="336"/>
      <c r="H90" s="336"/>
      <c r="I90" s="398"/>
      <c r="J90" s="336"/>
      <c r="K90" s="336"/>
      <c r="L90" s="336"/>
      <c r="M90" s="336"/>
      <c r="N90" s="336"/>
      <c r="O90" s="336"/>
      <c r="P90" s="336"/>
      <c r="Q90" s="336"/>
      <c r="R90" s="336"/>
      <c r="S90" s="336"/>
      <c r="T90" s="336"/>
      <c r="U90" s="336"/>
      <c r="V90" s="336"/>
      <c r="W90" s="336"/>
      <c r="X90" s="336"/>
      <c r="Y90" s="336"/>
      <c r="Z90" s="336"/>
      <c r="AA90" s="336"/>
      <c r="AB90" s="336"/>
      <c r="AC90" s="336"/>
      <c r="AD90" s="336"/>
      <c r="AE90" s="336"/>
      <c r="AF90" s="336"/>
      <c r="AG90" s="336"/>
      <c r="AH90" s="336"/>
      <c r="AI90" s="336"/>
    </row>
    <row r="91" spans="1:35">
      <c r="A91" s="336"/>
      <c r="B91" s="336"/>
      <c r="C91" s="336"/>
      <c r="D91" s="336"/>
      <c r="E91" s="336"/>
      <c r="F91" s="336"/>
      <c r="G91" s="336"/>
      <c r="H91" s="336"/>
      <c r="I91" s="336"/>
      <c r="J91" s="336"/>
      <c r="K91" s="336"/>
      <c r="L91" s="336"/>
      <c r="M91" s="336"/>
      <c r="N91" s="336"/>
      <c r="O91" s="336"/>
      <c r="P91" s="336"/>
      <c r="Q91" s="336"/>
      <c r="R91" s="336"/>
      <c r="S91" s="336"/>
      <c r="T91" s="336"/>
      <c r="U91" s="336"/>
      <c r="V91" s="336"/>
      <c r="W91" s="336"/>
      <c r="X91" s="336"/>
      <c r="Y91" s="336"/>
      <c r="Z91" s="336"/>
      <c r="AA91" s="336"/>
      <c r="AB91" s="336"/>
      <c r="AC91" s="336"/>
      <c r="AD91" s="336"/>
      <c r="AE91" s="336"/>
      <c r="AF91" s="336"/>
      <c r="AG91" s="336"/>
      <c r="AH91" s="336"/>
      <c r="AI91" s="336"/>
    </row>
    <row r="92" spans="1:35">
      <c r="A92" s="336"/>
      <c r="B92" s="336"/>
      <c r="C92" s="336"/>
      <c r="D92" s="336"/>
      <c r="E92" s="336"/>
      <c r="F92" s="336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  <c r="AA92" s="336"/>
      <c r="AB92" s="336"/>
      <c r="AC92" s="336"/>
      <c r="AD92" s="336"/>
      <c r="AE92" s="336"/>
      <c r="AF92" s="336"/>
      <c r="AG92" s="336"/>
      <c r="AH92" s="336"/>
      <c r="AI92" s="336"/>
    </row>
    <row r="93" spans="1:35">
      <c r="A93" s="336"/>
      <c r="B93" s="336"/>
      <c r="C93" s="336"/>
      <c r="D93" s="336"/>
      <c r="E93" s="336"/>
      <c r="F93" s="336"/>
      <c r="G93" s="336"/>
      <c r="H93" s="336"/>
      <c r="I93" s="336"/>
      <c r="J93" s="336"/>
      <c r="K93" s="336"/>
      <c r="L93" s="336"/>
      <c r="M93" s="336"/>
      <c r="N93" s="336"/>
      <c r="O93" s="336"/>
      <c r="P93" s="336"/>
      <c r="Q93" s="336"/>
      <c r="R93" s="336"/>
      <c r="S93" s="336"/>
      <c r="T93" s="336"/>
      <c r="U93" s="336"/>
      <c r="V93" s="336"/>
      <c r="W93" s="336"/>
      <c r="X93" s="336"/>
      <c r="Y93" s="336"/>
      <c r="Z93" s="336"/>
      <c r="AA93" s="336"/>
      <c r="AB93" s="336"/>
      <c r="AC93" s="336"/>
      <c r="AD93" s="336"/>
      <c r="AE93" s="336"/>
      <c r="AF93" s="336"/>
      <c r="AG93" s="336"/>
      <c r="AH93" s="336"/>
      <c r="AI93" s="336"/>
    </row>
    <row r="94" spans="1:35">
      <c r="A94" s="336"/>
      <c r="B94" s="336"/>
      <c r="C94" s="336"/>
      <c r="D94" s="336"/>
      <c r="E94" s="336"/>
      <c r="F94" s="336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6"/>
      <c r="AB94" s="336"/>
      <c r="AC94" s="336"/>
      <c r="AD94" s="336"/>
      <c r="AE94" s="336"/>
      <c r="AF94" s="336"/>
      <c r="AG94" s="336"/>
      <c r="AH94" s="336"/>
      <c r="AI94" s="336"/>
    </row>
    <row r="95" spans="1:35">
      <c r="A95" s="336"/>
      <c r="B95" s="336"/>
      <c r="C95" s="336"/>
      <c r="D95" s="336"/>
      <c r="E95" s="336"/>
      <c r="F95" s="336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  <c r="AA95" s="336"/>
      <c r="AB95" s="336"/>
      <c r="AC95" s="336"/>
      <c r="AD95" s="336"/>
      <c r="AE95" s="336"/>
      <c r="AF95" s="336"/>
      <c r="AG95" s="336"/>
      <c r="AH95" s="336"/>
      <c r="AI95" s="336"/>
    </row>
    <row r="96" spans="1:35">
      <c r="A96" s="336"/>
      <c r="B96" s="336"/>
      <c r="C96" s="336"/>
      <c r="D96" s="336"/>
      <c r="E96" s="336"/>
      <c r="F96" s="336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  <c r="AA96" s="336"/>
      <c r="AB96" s="336"/>
      <c r="AC96" s="336"/>
      <c r="AD96" s="336"/>
      <c r="AE96" s="336"/>
      <c r="AF96" s="336"/>
      <c r="AG96" s="336"/>
      <c r="AH96" s="336"/>
      <c r="AI96" s="336"/>
    </row>
    <row r="97" spans="1:35">
      <c r="A97" s="336"/>
      <c r="B97" s="336"/>
      <c r="C97" s="336"/>
      <c r="D97" s="336"/>
      <c r="E97" s="336"/>
      <c r="F97" s="336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6"/>
      <c r="AB97" s="336"/>
      <c r="AC97" s="336"/>
      <c r="AD97" s="336"/>
      <c r="AE97" s="336"/>
      <c r="AF97" s="336"/>
      <c r="AG97" s="336"/>
      <c r="AH97" s="336"/>
      <c r="AI97" s="336"/>
    </row>
    <row r="98" spans="1:35">
      <c r="A98" s="336"/>
      <c r="B98" s="336"/>
      <c r="C98" s="336"/>
      <c r="D98" s="336"/>
      <c r="E98" s="336"/>
      <c r="F98" s="336"/>
      <c r="G98" s="336"/>
      <c r="H98" s="336"/>
      <c r="I98" s="336"/>
      <c r="J98" s="336"/>
      <c r="K98" s="336"/>
      <c r="L98" s="336"/>
      <c r="M98" s="336"/>
      <c r="N98" s="336"/>
      <c r="O98" s="336"/>
      <c r="P98" s="336"/>
      <c r="Q98" s="336"/>
      <c r="R98" s="336"/>
      <c r="S98" s="336"/>
      <c r="T98" s="336"/>
      <c r="U98" s="336"/>
      <c r="V98" s="336"/>
      <c r="W98" s="336"/>
      <c r="X98" s="336"/>
      <c r="Y98" s="336"/>
      <c r="Z98" s="336"/>
      <c r="AA98" s="336"/>
      <c r="AB98" s="336"/>
      <c r="AC98" s="336"/>
      <c r="AD98" s="336"/>
      <c r="AE98" s="336"/>
      <c r="AF98" s="336"/>
      <c r="AG98" s="336"/>
      <c r="AH98" s="336"/>
      <c r="AI98" s="336"/>
    </row>
    <row r="99" spans="1:35">
      <c r="A99" s="336"/>
      <c r="B99" s="336"/>
      <c r="C99" s="336"/>
      <c r="D99" s="336"/>
      <c r="E99" s="336"/>
      <c r="F99" s="336"/>
      <c r="G99" s="336"/>
      <c r="H99" s="336"/>
      <c r="I99" s="336"/>
      <c r="J99" s="336"/>
      <c r="K99" s="336"/>
      <c r="L99" s="336"/>
      <c r="M99" s="336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  <c r="AA99" s="336"/>
      <c r="AB99" s="336"/>
      <c r="AC99" s="336"/>
      <c r="AD99" s="336"/>
      <c r="AE99" s="336"/>
      <c r="AF99" s="336"/>
      <c r="AG99" s="336"/>
      <c r="AH99" s="336"/>
      <c r="AI99" s="336"/>
    </row>
    <row r="100" spans="1:35">
      <c r="A100" s="336"/>
      <c r="B100" s="336"/>
      <c r="C100" s="336"/>
      <c r="D100" s="336"/>
      <c r="E100" s="336"/>
      <c r="F100" s="336"/>
      <c r="G100" s="336"/>
      <c r="H100" s="336"/>
      <c r="I100" s="336"/>
      <c r="J100" s="336"/>
      <c r="K100" s="336"/>
      <c r="L100" s="336"/>
      <c r="M100" s="336"/>
      <c r="N100" s="336"/>
      <c r="O100" s="336"/>
      <c r="P100" s="336"/>
      <c r="Q100" s="336"/>
      <c r="R100" s="336"/>
      <c r="S100" s="336"/>
      <c r="T100" s="336"/>
      <c r="U100" s="336"/>
      <c r="V100" s="336"/>
      <c r="W100" s="336"/>
      <c r="X100" s="336"/>
      <c r="Y100" s="336"/>
      <c r="Z100" s="336"/>
      <c r="AA100" s="336"/>
      <c r="AB100" s="336"/>
      <c r="AC100" s="336"/>
      <c r="AD100" s="336"/>
      <c r="AE100" s="336"/>
      <c r="AF100" s="336"/>
      <c r="AG100" s="336"/>
      <c r="AH100" s="336"/>
      <c r="AI100" s="336"/>
    </row>
    <row r="101" spans="1:35">
      <c r="A101" s="336"/>
      <c r="B101" s="336"/>
      <c r="C101" s="336"/>
      <c r="D101" s="336"/>
      <c r="E101" s="336"/>
      <c r="F101" s="336"/>
      <c r="G101" s="336"/>
      <c r="H101" s="336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  <c r="AA101" s="336"/>
      <c r="AB101" s="336"/>
      <c r="AC101" s="336"/>
      <c r="AD101" s="336"/>
      <c r="AE101" s="336"/>
      <c r="AF101" s="336"/>
      <c r="AG101" s="336"/>
      <c r="AH101" s="336"/>
      <c r="AI101" s="336"/>
    </row>
    <row r="102" spans="1:35">
      <c r="A102" s="336"/>
      <c r="B102" s="336"/>
      <c r="C102" s="336"/>
      <c r="D102" s="336"/>
      <c r="E102" s="336"/>
      <c r="F102" s="336"/>
      <c r="G102" s="336"/>
      <c r="H102" s="336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  <c r="AA102" s="336"/>
      <c r="AB102" s="336"/>
      <c r="AC102" s="336"/>
      <c r="AD102" s="336"/>
      <c r="AE102" s="336"/>
      <c r="AF102" s="336"/>
      <c r="AG102" s="336"/>
      <c r="AH102" s="336"/>
      <c r="AI102" s="336"/>
    </row>
    <row r="103" spans="1:35">
      <c r="A103" s="336"/>
      <c r="B103" s="336"/>
      <c r="C103" s="336"/>
      <c r="D103" s="336"/>
      <c r="E103" s="336"/>
      <c r="F103" s="336"/>
      <c r="G103" s="336"/>
      <c r="H103" s="336"/>
      <c r="I103" s="336"/>
      <c r="J103" s="336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  <c r="AA103" s="336"/>
      <c r="AB103" s="336"/>
      <c r="AC103" s="336"/>
      <c r="AD103" s="336"/>
      <c r="AE103" s="336"/>
      <c r="AF103" s="336"/>
      <c r="AG103" s="336"/>
      <c r="AH103" s="336"/>
      <c r="AI103" s="336"/>
    </row>
    <row r="104" spans="1:35">
      <c r="A104" s="336"/>
      <c r="B104" s="336"/>
      <c r="C104" s="336"/>
      <c r="D104" s="336"/>
      <c r="E104" s="336"/>
      <c r="F104" s="336"/>
      <c r="G104" s="336"/>
      <c r="H104" s="336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  <c r="AA104" s="336"/>
      <c r="AB104" s="336"/>
      <c r="AC104" s="336"/>
      <c r="AD104" s="336"/>
      <c r="AE104" s="336"/>
      <c r="AF104" s="336"/>
      <c r="AG104" s="336"/>
      <c r="AH104" s="336"/>
      <c r="AI104" s="336"/>
    </row>
    <row r="105" spans="1:35">
      <c r="A105" s="336"/>
      <c r="B105" s="336"/>
      <c r="C105" s="336"/>
      <c r="D105" s="336"/>
      <c r="E105" s="336"/>
      <c r="F105" s="336"/>
      <c r="G105" s="336"/>
      <c r="H105" s="336"/>
      <c r="I105" s="336"/>
      <c r="J105" s="336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6"/>
      <c r="AB105" s="336"/>
      <c r="AC105" s="336"/>
      <c r="AD105" s="336"/>
      <c r="AE105" s="336"/>
      <c r="AF105" s="336"/>
      <c r="AG105" s="336"/>
      <c r="AH105" s="336"/>
      <c r="AI105" s="336"/>
    </row>
    <row r="106" spans="1:35">
      <c r="A106" s="336"/>
      <c r="B106" s="336"/>
      <c r="C106" s="336"/>
      <c r="D106" s="336"/>
      <c r="E106" s="336"/>
      <c r="F106" s="336"/>
      <c r="G106" s="336"/>
      <c r="H106" s="336"/>
      <c r="I106" s="336"/>
      <c r="J106" s="336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  <c r="AA106" s="336"/>
      <c r="AB106" s="336"/>
      <c r="AC106" s="336"/>
      <c r="AD106" s="336"/>
      <c r="AE106" s="336"/>
      <c r="AF106" s="336"/>
      <c r="AG106" s="336"/>
      <c r="AH106" s="336"/>
      <c r="AI106" s="336"/>
    </row>
    <row r="107" spans="1:35">
      <c r="A107" s="336"/>
      <c r="B107" s="336"/>
      <c r="C107" s="336"/>
      <c r="D107" s="336"/>
      <c r="E107" s="336"/>
      <c r="F107" s="336"/>
      <c r="G107" s="336"/>
      <c r="H107" s="336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  <c r="AA107" s="336"/>
      <c r="AB107" s="336"/>
      <c r="AC107" s="336"/>
      <c r="AD107" s="336"/>
      <c r="AE107" s="336"/>
      <c r="AF107" s="336"/>
      <c r="AG107" s="336"/>
      <c r="AH107" s="336"/>
      <c r="AI107" s="336"/>
    </row>
    <row r="108" spans="1:35">
      <c r="A108" s="336"/>
      <c r="B108" s="336"/>
      <c r="C108" s="336"/>
      <c r="D108" s="336"/>
      <c r="E108" s="336"/>
      <c r="F108" s="336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  <c r="AA108" s="336"/>
      <c r="AB108" s="336"/>
      <c r="AC108" s="336"/>
      <c r="AD108" s="336"/>
      <c r="AE108" s="336"/>
      <c r="AF108" s="336"/>
      <c r="AG108" s="336"/>
      <c r="AH108" s="336"/>
      <c r="AI108" s="336"/>
    </row>
    <row r="109" spans="1:35">
      <c r="A109" s="336"/>
      <c r="B109" s="336"/>
      <c r="C109" s="336"/>
      <c r="D109" s="336"/>
      <c r="E109" s="336"/>
      <c r="F109" s="336"/>
      <c r="G109" s="336"/>
      <c r="H109" s="336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  <c r="AA109" s="336"/>
      <c r="AB109" s="336"/>
      <c r="AC109" s="336"/>
      <c r="AD109" s="336"/>
      <c r="AE109" s="336"/>
      <c r="AF109" s="336"/>
      <c r="AG109" s="336"/>
      <c r="AH109" s="336"/>
      <c r="AI109" s="336"/>
    </row>
    <row r="110" spans="1:35">
      <c r="A110" s="336"/>
      <c r="B110" s="336"/>
      <c r="C110" s="336"/>
      <c r="D110" s="336"/>
      <c r="E110" s="336"/>
      <c r="F110" s="336"/>
      <c r="G110" s="336"/>
      <c r="H110" s="336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  <c r="AA110" s="336"/>
      <c r="AB110" s="336"/>
      <c r="AC110" s="336"/>
      <c r="AD110" s="336"/>
      <c r="AE110" s="336"/>
      <c r="AF110" s="336"/>
      <c r="AG110" s="336"/>
      <c r="AH110" s="336"/>
      <c r="AI110" s="336"/>
    </row>
    <row r="111" spans="1:35">
      <c r="A111" s="336"/>
      <c r="B111" s="336"/>
      <c r="C111" s="336"/>
      <c r="D111" s="336"/>
      <c r="E111" s="336"/>
      <c r="F111" s="336"/>
      <c r="G111" s="336"/>
      <c r="H111" s="336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  <c r="AA111" s="336"/>
      <c r="AB111" s="336"/>
      <c r="AC111" s="336"/>
      <c r="AD111" s="336"/>
      <c r="AE111" s="336"/>
      <c r="AF111" s="336"/>
      <c r="AG111" s="336"/>
      <c r="AH111" s="336"/>
      <c r="AI111" s="336"/>
    </row>
    <row r="112" spans="1:35">
      <c r="A112" s="336"/>
      <c r="B112" s="336"/>
      <c r="C112" s="336"/>
      <c r="D112" s="336"/>
      <c r="E112" s="336"/>
      <c r="F112" s="336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6"/>
      <c r="AI112" s="336"/>
    </row>
    <row r="113" spans="1:35">
      <c r="A113" s="336"/>
      <c r="B113" s="336"/>
      <c r="C113" s="336"/>
      <c r="D113" s="336"/>
      <c r="E113" s="336"/>
      <c r="F113" s="336"/>
      <c r="G113" s="336"/>
      <c r="H113" s="336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  <c r="AA113" s="336"/>
      <c r="AB113" s="336"/>
      <c r="AC113" s="336"/>
      <c r="AD113" s="336"/>
      <c r="AE113" s="336"/>
      <c r="AF113" s="336"/>
      <c r="AG113" s="336"/>
      <c r="AH113" s="336"/>
      <c r="AI113" s="336"/>
    </row>
    <row r="114" spans="1:35">
      <c r="A114" s="336"/>
      <c r="B114" s="336"/>
      <c r="C114" s="336"/>
      <c r="D114" s="336"/>
      <c r="E114" s="336"/>
      <c r="F114" s="336"/>
      <c r="G114" s="336"/>
      <c r="H114" s="336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  <c r="AA114" s="336"/>
      <c r="AB114" s="336"/>
      <c r="AC114" s="336"/>
      <c r="AD114" s="336"/>
      <c r="AE114" s="336"/>
      <c r="AF114" s="336"/>
      <c r="AG114" s="336"/>
      <c r="AH114" s="336"/>
      <c r="AI114" s="336"/>
    </row>
    <row r="115" spans="1:35">
      <c r="A115" s="336"/>
      <c r="B115" s="336"/>
      <c r="C115" s="336"/>
      <c r="D115" s="336"/>
      <c r="E115" s="336"/>
      <c r="F115" s="336"/>
      <c r="G115" s="336"/>
      <c r="H115" s="336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  <c r="AA115" s="336"/>
      <c r="AB115" s="336"/>
      <c r="AC115" s="336"/>
      <c r="AD115" s="336"/>
      <c r="AE115" s="336"/>
      <c r="AF115" s="336"/>
      <c r="AG115" s="336"/>
      <c r="AH115" s="336"/>
      <c r="AI115" s="336"/>
    </row>
    <row r="116" spans="1:35">
      <c r="A116" s="336"/>
      <c r="B116" s="336"/>
      <c r="C116" s="336"/>
      <c r="D116" s="336"/>
      <c r="E116" s="336"/>
      <c r="F116" s="336"/>
      <c r="G116" s="336"/>
      <c r="H116" s="336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  <c r="AA116" s="336"/>
      <c r="AB116" s="336"/>
      <c r="AC116" s="336"/>
      <c r="AD116" s="336"/>
      <c r="AE116" s="336"/>
      <c r="AF116" s="336"/>
      <c r="AG116" s="336"/>
      <c r="AH116" s="336"/>
      <c r="AI116" s="336"/>
    </row>
    <row r="117" spans="1:35">
      <c r="A117" s="336"/>
      <c r="B117" s="336"/>
      <c r="C117" s="336"/>
      <c r="D117" s="336"/>
      <c r="E117" s="336"/>
      <c r="F117" s="336"/>
      <c r="G117" s="336"/>
      <c r="H117" s="336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</row>
    <row r="118" spans="1:35">
      <c r="A118" s="336"/>
      <c r="B118" s="336"/>
      <c r="C118" s="336"/>
      <c r="D118" s="336"/>
      <c r="E118" s="336"/>
      <c r="F118" s="336"/>
      <c r="G118" s="336"/>
      <c r="H118" s="336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  <c r="AA118" s="336"/>
      <c r="AB118" s="336"/>
      <c r="AC118" s="336"/>
      <c r="AD118" s="336"/>
      <c r="AE118" s="336"/>
      <c r="AF118" s="336"/>
      <c r="AG118" s="336"/>
      <c r="AH118" s="336"/>
      <c r="AI118" s="336"/>
    </row>
    <row r="119" spans="1:35">
      <c r="A119" s="336"/>
      <c r="B119" s="336"/>
      <c r="C119" s="336"/>
      <c r="D119" s="336"/>
      <c r="E119" s="336"/>
      <c r="F119" s="336"/>
      <c r="G119" s="336"/>
      <c r="H119" s="336"/>
      <c r="I119" s="336"/>
      <c r="J119" s="336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  <c r="AA119" s="336"/>
      <c r="AB119" s="336"/>
      <c r="AC119" s="336"/>
      <c r="AD119" s="336"/>
      <c r="AE119" s="336"/>
      <c r="AF119" s="336"/>
      <c r="AG119" s="336"/>
      <c r="AH119" s="336"/>
      <c r="AI119" s="336"/>
    </row>
    <row r="120" spans="1:35">
      <c r="A120" s="336"/>
      <c r="B120" s="336"/>
      <c r="C120" s="336"/>
      <c r="D120" s="336"/>
      <c r="E120" s="336"/>
      <c r="F120" s="336"/>
      <c r="G120" s="336"/>
      <c r="H120" s="336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  <c r="AA120" s="336"/>
      <c r="AB120" s="336"/>
      <c r="AC120" s="336"/>
      <c r="AD120" s="336"/>
      <c r="AE120" s="336"/>
      <c r="AF120" s="336"/>
      <c r="AG120" s="336"/>
      <c r="AH120" s="336"/>
      <c r="AI120" s="336"/>
    </row>
    <row r="121" spans="1:35">
      <c r="A121" s="336"/>
      <c r="B121" s="336"/>
      <c r="C121" s="336"/>
      <c r="D121" s="336"/>
      <c r="E121" s="336"/>
      <c r="F121" s="336"/>
      <c r="G121" s="336"/>
      <c r="H121" s="336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  <c r="AA121" s="336"/>
      <c r="AB121" s="336"/>
      <c r="AC121" s="336"/>
      <c r="AD121" s="336"/>
      <c r="AE121" s="336"/>
      <c r="AF121" s="336"/>
      <c r="AG121" s="336"/>
      <c r="AH121" s="336"/>
      <c r="AI121" s="336"/>
    </row>
    <row r="122" spans="1:35">
      <c r="A122" s="336"/>
      <c r="B122" s="336"/>
      <c r="C122" s="336"/>
      <c r="D122" s="336"/>
      <c r="E122" s="336"/>
      <c r="F122" s="336"/>
      <c r="G122" s="336"/>
      <c r="H122" s="336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  <c r="AA122" s="336"/>
      <c r="AB122" s="336"/>
      <c r="AC122" s="336"/>
      <c r="AD122" s="336"/>
      <c r="AE122" s="336"/>
      <c r="AF122" s="336"/>
      <c r="AG122" s="336"/>
      <c r="AH122" s="336"/>
      <c r="AI122" s="336"/>
    </row>
    <row r="123" spans="1:35">
      <c r="A123" s="336"/>
      <c r="B123" s="336"/>
      <c r="C123" s="336"/>
      <c r="D123" s="336"/>
      <c r="E123" s="336"/>
      <c r="F123" s="336"/>
      <c r="G123" s="336"/>
      <c r="H123" s="336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  <c r="AA123" s="336"/>
      <c r="AB123" s="336"/>
      <c r="AC123" s="336"/>
      <c r="AD123" s="336"/>
      <c r="AE123" s="336"/>
      <c r="AF123" s="336"/>
      <c r="AG123" s="336"/>
      <c r="AH123" s="336"/>
      <c r="AI123" s="336"/>
    </row>
    <row r="124" spans="1:35">
      <c r="A124" s="336"/>
      <c r="B124" s="336"/>
      <c r="C124" s="336"/>
      <c r="D124" s="336"/>
      <c r="E124" s="336"/>
      <c r="F124" s="336"/>
      <c r="G124" s="336"/>
      <c r="H124" s="336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  <c r="AA124" s="336"/>
      <c r="AB124" s="336"/>
      <c r="AC124" s="336"/>
      <c r="AD124" s="336"/>
      <c r="AE124" s="336"/>
      <c r="AF124" s="336"/>
      <c r="AG124" s="336"/>
      <c r="AH124" s="336"/>
      <c r="AI124" s="336"/>
    </row>
    <row r="125" spans="1:35">
      <c r="A125" s="336"/>
      <c r="B125" s="336"/>
      <c r="C125" s="336"/>
      <c r="D125" s="336"/>
      <c r="E125" s="336"/>
      <c r="F125" s="336"/>
      <c r="G125" s="336"/>
      <c r="H125" s="336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  <c r="AA125" s="336"/>
      <c r="AB125" s="336"/>
      <c r="AC125" s="336"/>
      <c r="AD125" s="336"/>
      <c r="AE125" s="336"/>
      <c r="AF125" s="336"/>
      <c r="AG125" s="336"/>
      <c r="AH125" s="336"/>
      <c r="AI125" s="336"/>
    </row>
    <row r="126" spans="1:35">
      <c r="A126" s="336"/>
      <c r="B126" s="336"/>
      <c r="C126" s="336"/>
      <c r="D126" s="336"/>
      <c r="E126" s="336"/>
      <c r="F126" s="336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  <c r="AA126" s="336"/>
      <c r="AB126" s="336"/>
      <c r="AC126" s="336"/>
      <c r="AD126" s="336"/>
      <c r="AE126" s="336"/>
      <c r="AF126" s="336"/>
      <c r="AG126" s="336"/>
      <c r="AH126" s="336"/>
      <c r="AI126" s="336"/>
    </row>
    <row r="127" spans="1:35">
      <c r="A127" s="336"/>
      <c r="B127" s="336"/>
      <c r="C127" s="336"/>
      <c r="D127" s="336"/>
      <c r="E127" s="336"/>
      <c r="F127" s="336"/>
      <c r="G127" s="336"/>
      <c r="H127" s="336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  <c r="AA127" s="336"/>
      <c r="AB127" s="336"/>
      <c r="AC127" s="336"/>
      <c r="AD127" s="336"/>
      <c r="AE127" s="336"/>
      <c r="AF127" s="336"/>
      <c r="AG127" s="336"/>
      <c r="AH127" s="336"/>
      <c r="AI127" s="336"/>
    </row>
    <row r="128" spans="1:35">
      <c r="A128" s="336"/>
      <c r="B128" s="336"/>
      <c r="C128" s="336"/>
      <c r="D128" s="336"/>
      <c r="E128" s="336"/>
      <c r="F128" s="336"/>
      <c r="G128" s="336"/>
      <c r="H128" s="336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  <c r="AA128" s="336"/>
      <c r="AB128" s="336"/>
      <c r="AC128" s="336"/>
      <c r="AD128" s="336"/>
      <c r="AE128" s="336"/>
      <c r="AF128" s="336"/>
      <c r="AG128" s="336"/>
      <c r="AH128" s="336"/>
      <c r="AI128" s="336"/>
    </row>
    <row r="129" spans="1:35">
      <c r="A129" s="336"/>
      <c r="B129" s="336"/>
      <c r="C129" s="336"/>
      <c r="D129" s="336"/>
      <c r="E129" s="336"/>
      <c r="F129" s="336"/>
      <c r="G129" s="336"/>
      <c r="H129" s="336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  <c r="AA129" s="336"/>
      <c r="AB129" s="336"/>
      <c r="AC129" s="336"/>
      <c r="AD129" s="336"/>
      <c r="AE129" s="336"/>
      <c r="AF129" s="336"/>
      <c r="AG129" s="336"/>
      <c r="AH129" s="336"/>
      <c r="AI129" s="336"/>
    </row>
    <row r="130" spans="1:35">
      <c r="A130" s="336"/>
      <c r="B130" s="336"/>
      <c r="C130" s="336"/>
      <c r="D130" s="336"/>
      <c r="E130" s="336"/>
      <c r="F130" s="336"/>
      <c r="G130" s="336"/>
      <c r="H130" s="336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  <c r="AA130" s="336"/>
      <c r="AB130" s="336"/>
      <c r="AC130" s="336"/>
      <c r="AD130" s="336"/>
      <c r="AE130" s="336"/>
      <c r="AF130" s="336"/>
      <c r="AG130" s="336"/>
      <c r="AH130" s="336"/>
      <c r="AI130" s="336"/>
    </row>
    <row r="131" spans="1:35">
      <c r="A131" s="336"/>
      <c r="B131" s="336"/>
      <c r="C131" s="336"/>
      <c r="D131" s="336"/>
      <c r="E131" s="336"/>
      <c r="F131" s="336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  <c r="AA131" s="336"/>
      <c r="AB131" s="336"/>
      <c r="AC131" s="336"/>
      <c r="AD131" s="336"/>
      <c r="AE131" s="336"/>
      <c r="AF131" s="336"/>
      <c r="AG131" s="336"/>
      <c r="AH131" s="336"/>
      <c r="AI131" s="336"/>
    </row>
    <row r="132" spans="1:35">
      <c r="A132" s="336"/>
      <c r="B132" s="336"/>
      <c r="C132" s="336"/>
      <c r="D132" s="336"/>
      <c r="E132" s="336"/>
      <c r="F132" s="336"/>
      <c r="G132" s="336"/>
      <c r="H132" s="336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  <c r="AA132" s="336"/>
      <c r="AB132" s="336"/>
      <c r="AC132" s="336"/>
      <c r="AD132" s="336"/>
      <c r="AE132" s="336"/>
      <c r="AF132" s="336"/>
      <c r="AG132" s="336"/>
      <c r="AH132" s="336"/>
      <c r="AI132" s="336"/>
    </row>
    <row r="133" spans="1:35">
      <c r="A133" s="336"/>
      <c r="B133" s="336"/>
      <c r="C133" s="336"/>
      <c r="D133" s="336"/>
      <c r="E133" s="336"/>
      <c r="F133" s="336"/>
      <c r="G133" s="336"/>
      <c r="H133" s="336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  <c r="AA133" s="336"/>
      <c r="AB133" s="336"/>
      <c r="AC133" s="336"/>
      <c r="AD133" s="336"/>
      <c r="AE133" s="336"/>
      <c r="AF133" s="336"/>
      <c r="AG133" s="336"/>
      <c r="AH133" s="336"/>
      <c r="AI133" s="336"/>
    </row>
    <row r="134" spans="1:35">
      <c r="A134" s="336"/>
      <c r="B134" s="336"/>
      <c r="C134" s="336"/>
      <c r="D134" s="336"/>
      <c r="E134" s="336"/>
      <c r="F134" s="336"/>
      <c r="G134" s="336"/>
      <c r="H134" s="336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  <c r="AA134" s="336"/>
      <c r="AB134" s="336"/>
      <c r="AC134" s="336"/>
      <c r="AD134" s="336"/>
      <c r="AE134" s="336"/>
      <c r="AF134" s="336"/>
      <c r="AG134" s="336"/>
      <c r="AH134" s="336"/>
      <c r="AI134" s="336"/>
    </row>
    <row r="135" spans="1:35">
      <c r="A135" s="336"/>
      <c r="B135" s="336"/>
      <c r="C135" s="336"/>
      <c r="D135" s="336"/>
      <c r="E135" s="336"/>
      <c r="F135" s="336"/>
      <c r="G135" s="336"/>
      <c r="H135" s="336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  <c r="AA135" s="336"/>
      <c r="AB135" s="336"/>
      <c r="AC135" s="336"/>
      <c r="AD135" s="336"/>
      <c r="AE135" s="336"/>
      <c r="AF135" s="336"/>
      <c r="AG135" s="336"/>
      <c r="AH135" s="336"/>
      <c r="AI135" s="336"/>
    </row>
    <row r="136" spans="1:35">
      <c r="A136" s="336"/>
      <c r="B136" s="336"/>
      <c r="C136" s="336"/>
      <c r="D136" s="336"/>
      <c r="E136" s="336"/>
      <c r="F136" s="336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  <c r="AA136" s="336"/>
      <c r="AB136" s="336"/>
      <c r="AC136" s="336"/>
      <c r="AD136" s="336"/>
      <c r="AE136" s="336"/>
      <c r="AF136" s="336"/>
      <c r="AG136" s="336"/>
      <c r="AH136" s="336"/>
      <c r="AI136" s="336"/>
    </row>
    <row r="137" spans="1:35">
      <c r="A137" s="336"/>
      <c r="B137" s="336"/>
      <c r="C137" s="336"/>
      <c r="D137" s="336"/>
      <c r="E137" s="336"/>
      <c r="F137" s="336"/>
      <c r="G137" s="336"/>
      <c r="H137" s="336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  <c r="AA137" s="336"/>
      <c r="AB137" s="336"/>
      <c r="AC137" s="336"/>
      <c r="AD137" s="336"/>
      <c r="AE137" s="336"/>
      <c r="AF137" s="336"/>
      <c r="AG137" s="336"/>
      <c r="AH137" s="336"/>
      <c r="AI137" s="336"/>
    </row>
    <row r="138" spans="1:35">
      <c r="A138" s="336"/>
      <c r="B138" s="336"/>
      <c r="C138" s="336"/>
      <c r="D138" s="336"/>
      <c r="E138" s="336"/>
      <c r="F138" s="336"/>
      <c r="G138" s="336"/>
      <c r="H138" s="336"/>
      <c r="I138" s="336"/>
      <c r="J138" s="336"/>
      <c r="K138" s="336"/>
      <c r="L138" s="336"/>
      <c r="M138" s="336"/>
      <c r="N138" s="336"/>
      <c r="O138" s="336"/>
      <c r="P138" s="336"/>
      <c r="Q138" s="336"/>
      <c r="R138" s="336"/>
      <c r="S138" s="336"/>
      <c r="T138" s="336"/>
      <c r="U138" s="336"/>
      <c r="V138" s="336"/>
      <c r="W138" s="336"/>
      <c r="X138" s="336"/>
      <c r="Y138" s="336"/>
      <c r="Z138" s="336"/>
      <c r="AA138" s="336"/>
      <c r="AB138" s="336"/>
      <c r="AC138" s="336"/>
      <c r="AD138" s="336"/>
      <c r="AE138" s="336"/>
      <c r="AF138" s="336"/>
      <c r="AG138" s="336"/>
      <c r="AH138" s="336"/>
      <c r="AI138" s="336"/>
    </row>
    <row r="139" spans="1:35">
      <c r="A139" s="336"/>
      <c r="B139" s="336"/>
      <c r="C139" s="336"/>
      <c r="D139" s="336"/>
      <c r="E139" s="336"/>
      <c r="F139" s="336"/>
      <c r="G139" s="336"/>
      <c r="H139" s="336"/>
      <c r="I139" s="336"/>
      <c r="J139" s="336"/>
      <c r="K139" s="336"/>
      <c r="L139" s="336"/>
      <c r="M139" s="336"/>
      <c r="N139" s="336"/>
      <c r="O139" s="336"/>
      <c r="P139" s="336"/>
      <c r="Q139" s="336"/>
      <c r="R139" s="336"/>
      <c r="S139" s="336"/>
      <c r="T139" s="336"/>
      <c r="U139" s="336"/>
      <c r="V139" s="336"/>
      <c r="W139" s="336"/>
      <c r="X139" s="336"/>
      <c r="Y139" s="336"/>
      <c r="Z139" s="336"/>
      <c r="AA139" s="336"/>
      <c r="AB139" s="336"/>
      <c r="AC139" s="336"/>
      <c r="AD139" s="336"/>
      <c r="AE139" s="336"/>
      <c r="AF139" s="336"/>
      <c r="AG139" s="336"/>
      <c r="AH139" s="336"/>
      <c r="AI139" s="336"/>
    </row>
    <row r="140" spans="1:35">
      <c r="A140" s="336"/>
      <c r="B140" s="336"/>
      <c r="C140" s="336"/>
      <c r="D140" s="336"/>
      <c r="E140" s="336"/>
      <c r="F140" s="336"/>
      <c r="G140" s="336"/>
      <c r="H140" s="336"/>
      <c r="I140" s="336"/>
      <c r="J140" s="336"/>
      <c r="K140" s="336"/>
      <c r="L140" s="336"/>
      <c r="M140" s="336"/>
      <c r="N140" s="336"/>
      <c r="O140" s="336"/>
      <c r="P140" s="336"/>
      <c r="Q140" s="336"/>
      <c r="R140" s="336"/>
      <c r="S140" s="336"/>
      <c r="T140" s="336"/>
      <c r="U140" s="336"/>
      <c r="V140" s="336"/>
      <c r="W140" s="336"/>
      <c r="X140" s="336"/>
      <c r="Y140" s="336"/>
      <c r="Z140" s="336"/>
      <c r="AA140" s="336"/>
      <c r="AB140" s="336"/>
      <c r="AC140" s="336"/>
      <c r="AD140" s="336"/>
      <c r="AE140" s="336"/>
      <c r="AF140" s="336"/>
      <c r="AG140" s="336"/>
      <c r="AH140" s="336"/>
      <c r="AI140" s="336"/>
    </row>
    <row r="141" spans="1:35">
      <c r="A141" s="336"/>
      <c r="B141" s="336"/>
      <c r="C141" s="336"/>
      <c r="D141" s="336"/>
      <c r="E141" s="336"/>
      <c r="F141" s="336"/>
      <c r="G141" s="336"/>
      <c r="H141" s="336"/>
      <c r="I141" s="336"/>
      <c r="J141" s="336"/>
      <c r="K141" s="336"/>
      <c r="L141" s="336"/>
      <c r="M141" s="336"/>
      <c r="N141" s="336"/>
      <c r="O141" s="336"/>
      <c r="P141" s="336"/>
      <c r="Q141" s="336"/>
      <c r="R141" s="336"/>
      <c r="S141" s="336"/>
      <c r="T141" s="336"/>
      <c r="U141" s="336"/>
      <c r="V141" s="336"/>
      <c r="W141" s="336"/>
      <c r="X141" s="336"/>
      <c r="Y141" s="336"/>
      <c r="Z141" s="336"/>
      <c r="AA141" s="336"/>
      <c r="AB141" s="336"/>
      <c r="AC141" s="336"/>
      <c r="AD141" s="336"/>
      <c r="AE141" s="336"/>
      <c r="AF141" s="336"/>
      <c r="AG141" s="336"/>
      <c r="AH141" s="336"/>
      <c r="AI141" s="336"/>
    </row>
    <row r="142" spans="1:35">
      <c r="A142" s="336"/>
      <c r="B142" s="336"/>
      <c r="C142" s="336"/>
      <c r="D142" s="336"/>
      <c r="E142" s="336"/>
      <c r="F142" s="336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6"/>
      <c r="X142" s="336"/>
      <c r="Y142" s="336"/>
      <c r="Z142" s="336"/>
      <c r="AA142" s="336"/>
      <c r="AB142" s="336"/>
      <c r="AC142" s="336"/>
      <c r="AD142" s="336"/>
      <c r="AE142" s="336"/>
      <c r="AF142" s="336"/>
      <c r="AG142" s="336"/>
      <c r="AH142" s="336"/>
      <c r="AI142" s="336"/>
    </row>
    <row r="143" spans="1:35">
      <c r="A143" s="336"/>
      <c r="B143" s="336"/>
      <c r="C143" s="336"/>
      <c r="D143" s="336"/>
      <c r="E143" s="336"/>
      <c r="F143" s="336"/>
      <c r="G143" s="336"/>
      <c r="I143" s="336"/>
      <c r="J143" s="336"/>
      <c r="K143" s="336"/>
      <c r="L143" s="336"/>
      <c r="M143" s="336"/>
      <c r="N143" s="336"/>
      <c r="O143" s="336"/>
      <c r="P143" s="336"/>
      <c r="Q143" s="336"/>
      <c r="R143" s="336"/>
      <c r="S143" s="336"/>
      <c r="T143" s="336"/>
      <c r="U143" s="336"/>
      <c r="V143" s="336"/>
      <c r="W143" s="336"/>
      <c r="X143" s="336"/>
      <c r="Y143" s="336"/>
      <c r="Z143" s="336"/>
      <c r="AA143" s="336"/>
      <c r="AB143" s="336"/>
      <c r="AC143" s="336"/>
      <c r="AD143" s="336"/>
      <c r="AE143" s="336"/>
      <c r="AF143" s="336"/>
      <c r="AG143" s="336"/>
      <c r="AH143" s="336"/>
      <c r="AI143" s="336"/>
    </row>
    <row r="144" spans="1:35">
      <c r="I144" s="336"/>
      <c r="J144" s="336"/>
      <c r="K144" s="336"/>
      <c r="L144" s="336"/>
      <c r="M144" s="336"/>
      <c r="N144" s="336"/>
      <c r="O144" s="336"/>
      <c r="P144" s="336"/>
      <c r="Q144" s="336"/>
      <c r="R144" s="336"/>
      <c r="S144" s="336"/>
      <c r="T144" s="336"/>
      <c r="U144" s="336"/>
      <c r="V144" s="336"/>
      <c r="W144" s="336"/>
      <c r="X144" s="336"/>
      <c r="Y144" s="336"/>
      <c r="Z144" s="336"/>
      <c r="AA144" s="336"/>
      <c r="AB144" s="336"/>
      <c r="AC144" s="336"/>
      <c r="AD144" s="336"/>
      <c r="AE144" s="336"/>
      <c r="AF144" s="336"/>
      <c r="AG144" s="336"/>
      <c r="AH144" s="336"/>
      <c r="AI144" s="336"/>
    </row>
    <row r="145" spans="9:35">
      <c r="I145" s="336"/>
      <c r="J145" s="336"/>
      <c r="K145" s="336"/>
      <c r="L145" s="336"/>
      <c r="M145" s="336"/>
      <c r="N145" s="336"/>
      <c r="O145" s="336"/>
      <c r="P145" s="336"/>
      <c r="Q145" s="336"/>
      <c r="R145" s="336"/>
      <c r="S145" s="336"/>
      <c r="T145" s="336"/>
      <c r="U145" s="336"/>
      <c r="V145" s="336"/>
      <c r="W145" s="336"/>
      <c r="X145" s="336"/>
      <c r="Y145" s="336"/>
      <c r="Z145" s="336"/>
      <c r="AA145" s="336"/>
      <c r="AB145" s="336"/>
      <c r="AC145" s="336"/>
      <c r="AD145" s="336"/>
      <c r="AE145" s="336"/>
      <c r="AF145" s="336"/>
      <c r="AG145" s="336"/>
      <c r="AH145" s="336"/>
      <c r="AI145" s="336"/>
    </row>
    <row r="146" spans="9:35">
      <c r="I146" s="336"/>
      <c r="J146" s="336"/>
      <c r="K146" s="336"/>
      <c r="L146" s="336"/>
      <c r="M146" s="336"/>
      <c r="N146" s="336"/>
      <c r="O146" s="336"/>
      <c r="P146" s="336"/>
      <c r="Q146" s="336"/>
      <c r="R146" s="336"/>
      <c r="S146" s="336"/>
      <c r="T146" s="336"/>
      <c r="U146" s="336"/>
      <c r="V146" s="336"/>
      <c r="W146" s="336"/>
      <c r="X146" s="336"/>
      <c r="Y146" s="336"/>
      <c r="Z146" s="336"/>
      <c r="AA146" s="336"/>
      <c r="AB146" s="336"/>
      <c r="AC146" s="336"/>
      <c r="AD146" s="336"/>
      <c r="AE146" s="336"/>
      <c r="AF146" s="336"/>
      <c r="AG146" s="336"/>
      <c r="AH146" s="336"/>
      <c r="AI146" s="336"/>
    </row>
    <row r="147" spans="9:35">
      <c r="I147" s="336"/>
      <c r="J147" s="336"/>
      <c r="K147" s="336"/>
      <c r="L147" s="336"/>
      <c r="M147" s="336"/>
      <c r="N147" s="336"/>
      <c r="O147" s="336"/>
      <c r="P147" s="336"/>
      <c r="Q147" s="336"/>
      <c r="R147" s="336"/>
      <c r="S147" s="336"/>
      <c r="T147" s="336"/>
      <c r="U147" s="336"/>
      <c r="V147" s="336"/>
      <c r="W147" s="336"/>
      <c r="X147" s="336"/>
      <c r="Y147" s="336"/>
      <c r="Z147" s="336"/>
      <c r="AA147" s="336"/>
      <c r="AB147" s="336"/>
      <c r="AC147" s="336"/>
      <c r="AD147" s="336"/>
      <c r="AE147" s="336"/>
      <c r="AF147" s="336"/>
      <c r="AG147" s="336"/>
      <c r="AH147" s="336"/>
      <c r="AI147" s="336"/>
    </row>
    <row r="148" spans="9:35">
      <c r="I148" s="336"/>
      <c r="J148" s="336"/>
      <c r="K148" s="336"/>
      <c r="L148" s="336"/>
      <c r="M148" s="336"/>
      <c r="N148" s="336"/>
      <c r="O148" s="336"/>
      <c r="P148" s="336"/>
      <c r="Q148" s="336"/>
      <c r="R148" s="336"/>
      <c r="S148" s="336"/>
      <c r="T148" s="336"/>
      <c r="U148" s="336"/>
      <c r="V148" s="336"/>
      <c r="W148" s="336"/>
      <c r="X148" s="336"/>
      <c r="Y148" s="336"/>
      <c r="Z148" s="336"/>
      <c r="AA148" s="336"/>
      <c r="AB148" s="336"/>
      <c r="AC148" s="336"/>
      <c r="AD148" s="336"/>
      <c r="AE148" s="336"/>
      <c r="AF148" s="336"/>
      <c r="AG148" s="336"/>
      <c r="AH148" s="336"/>
      <c r="AI148" s="336"/>
    </row>
    <row r="149" spans="9:35">
      <c r="I149" s="336"/>
      <c r="J149" s="336"/>
      <c r="K149" s="336"/>
      <c r="L149" s="336"/>
      <c r="M149" s="336"/>
      <c r="N149" s="336"/>
      <c r="O149" s="336"/>
      <c r="P149" s="336"/>
      <c r="Q149" s="336"/>
      <c r="R149" s="336"/>
      <c r="S149" s="336"/>
      <c r="T149" s="336"/>
      <c r="U149" s="336"/>
      <c r="V149" s="336"/>
      <c r="W149" s="336"/>
      <c r="X149" s="336"/>
      <c r="Y149" s="336"/>
      <c r="Z149" s="336"/>
      <c r="AA149" s="336"/>
      <c r="AB149" s="336"/>
      <c r="AC149" s="336"/>
      <c r="AD149" s="336"/>
      <c r="AE149" s="336"/>
      <c r="AF149" s="336"/>
      <c r="AG149" s="336"/>
      <c r="AH149" s="336"/>
      <c r="AI149" s="336"/>
    </row>
    <row r="150" spans="9:35">
      <c r="I150" s="336"/>
      <c r="J150" s="336"/>
      <c r="K150" s="336"/>
      <c r="L150" s="336"/>
      <c r="M150" s="336"/>
      <c r="N150" s="336"/>
      <c r="O150" s="336"/>
      <c r="P150" s="336"/>
      <c r="Q150" s="336"/>
      <c r="R150" s="336"/>
      <c r="S150" s="336"/>
      <c r="T150" s="336"/>
      <c r="U150" s="336"/>
      <c r="V150" s="336"/>
      <c r="W150" s="336"/>
      <c r="X150" s="336"/>
      <c r="Y150" s="336"/>
      <c r="Z150" s="336"/>
      <c r="AA150" s="336"/>
      <c r="AB150" s="336"/>
      <c r="AC150" s="336"/>
      <c r="AD150" s="336"/>
      <c r="AE150" s="336"/>
      <c r="AF150" s="336"/>
      <c r="AG150" s="336"/>
      <c r="AH150" s="336"/>
      <c r="AI150" s="336"/>
    </row>
    <row r="151" spans="9:35">
      <c r="I151" s="336"/>
      <c r="J151" s="336"/>
      <c r="K151" s="336"/>
      <c r="L151" s="336"/>
      <c r="M151" s="336"/>
      <c r="N151" s="336"/>
      <c r="O151" s="336"/>
      <c r="P151" s="336"/>
      <c r="Q151" s="336"/>
      <c r="R151" s="336"/>
      <c r="S151" s="336"/>
      <c r="T151" s="336"/>
      <c r="U151" s="336"/>
      <c r="V151" s="336"/>
      <c r="W151" s="336"/>
      <c r="X151" s="336"/>
      <c r="Y151" s="336"/>
      <c r="Z151" s="336"/>
      <c r="AA151" s="336"/>
      <c r="AB151" s="336"/>
      <c r="AC151" s="336"/>
      <c r="AD151" s="336"/>
      <c r="AE151" s="336"/>
      <c r="AF151" s="336"/>
      <c r="AG151" s="336"/>
      <c r="AH151" s="336"/>
      <c r="AI151" s="336"/>
    </row>
    <row r="152" spans="9:35">
      <c r="I152" s="336"/>
      <c r="J152" s="336"/>
      <c r="K152" s="336"/>
      <c r="L152" s="336"/>
      <c r="M152" s="336"/>
      <c r="N152" s="336"/>
      <c r="O152" s="336"/>
      <c r="P152" s="336"/>
      <c r="Q152" s="336"/>
      <c r="R152" s="336"/>
      <c r="S152" s="336"/>
      <c r="T152" s="336"/>
      <c r="U152" s="336"/>
      <c r="V152" s="336"/>
      <c r="W152" s="336"/>
      <c r="X152" s="336"/>
      <c r="Y152" s="336"/>
      <c r="Z152" s="336"/>
      <c r="AA152" s="336"/>
      <c r="AB152" s="336"/>
      <c r="AC152" s="336"/>
      <c r="AD152" s="336"/>
      <c r="AE152" s="336"/>
      <c r="AF152" s="336"/>
      <c r="AG152" s="336"/>
      <c r="AH152" s="336"/>
      <c r="AI152" s="336"/>
    </row>
    <row r="153" spans="9:35">
      <c r="I153" s="336"/>
      <c r="J153" s="336"/>
      <c r="K153" s="336"/>
      <c r="L153" s="336"/>
      <c r="M153" s="336"/>
      <c r="N153" s="336"/>
      <c r="O153" s="336"/>
      <c r="P153" s="336"/>
      <c r="Q153" s="336"/>
      <c r="R153" s="336"/>
      <c r="S153" s="336"/>
      <c r="T153" s="336"/>
      <c r="U153" s="336"/>
      <c r="V153" s="336"/>
      <c r="W153" s="336"/>
      <c r="X153" s="336"/>
      <c r="Y153" s="336"/>
      <c r="Z153" s="336"/>
      <c r="AA153" s="336"/>
      <c r="AB153" s="336"/>
      <c r="AC153" s="336"/>
      <c r="AD153" s="336"/>
      <c r="AE153" s="336"/>
      <c r="AF153" s="336"/>
      <c r="AG153" s="336"/>
      <c r="AH153" s="336"/>
      <c r="AI153" s="336"/>
    </row>
    <row r="154" spans="9:35">
      <c r="I154" s="336"/>
      <c r="J154" s="336"/>
      <c r="K154" s="336"/>
      <c r="L154" s="336"/>
      <c r="M154" s="336"/>
      <c r="N154" s="336"/>
      <c r="O154" s="336"/>
      <c r="P154" s="336"/>
      <c r="Q154" s="336"/>
      <c r="R154" s="336"/>
      <c r="S154" s="336"/>
      <c r="T154" s="336"/>
      <c r="U154" s="336"/>
      <c r="V154" s="336"/>
      <c r="W154" s="336"/>
      <c r="X154" s="336"/>
      <c r="Y154" s="336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</row>
    <row r="155" spans="9:35">
      <c r="I155" s="336"/>
      <c r="J155" s="336"/>
      <c r="K155" s="336"/>
      <c r="L155" s="336"/>
      <c r="M155" s="336"/>
      <c r="N155" s="336"/>
      <c r="O155" s="336"/>
      <c r="P155" s="336"/>
      <c r="Q155" s="336"/>
      <c r="R155" s="336"/>
      <c r="S155" s="336"/>
      <c r="T155" s="336"/>
      <c r="U155" s="336"/>
      <c r="V155" s="336"/>
      <c r="W155" s="336"/>
      <c r="X155" s="336"/>
      <c r="Y155" s="336"/>
      <c r="Z155" s="336"/>
      <c r="AA155" s="336"/>
      <c r="AB155" s="336"/>
      <c r="AC155" s="336"/>
      <c r="AD155" s="336"/>
      <c r="AE155" s="336"/>
      <c r="AF155" s="336"/>
      <c r="AG155" s="336"/>
      <c r="AH155" s="336"/>
      <c r="AI155" s="336"/>
    </row>
    <row r="156" spans="9:35"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  <c r="AA156" s="336"/>
      <c r="AB156" s="336"/>
      <c r="AC156" s="336"/>
      <c r="AD156" s="336"/>
      <c r="AE156" s="336"/>
      <c r="AF156" s="336"/>
      <c r="AG156" s="336"/>
      <c r="AH156" s="336"/>
      <c r="AI156" s="336"/>
    </row>
    <row r="157" spans="9:35">
      <c r="I157" s="336"/>
      <c r="J157" s="336"/>
      <c r="K157" s="336"/>
      <c r="L157" s="336"/>
      <c r="M157" s="336"/>
      <c r="N157" s="336"/>
      <c r="O157" s="336"/>
      <c r="P157" s="336"/>
      <c r="Q157" s="336"/>
      <c r="R157" s="336"/>
      <c r="S157" s="336"/>
      <c r="T157" s="336"/>
      <c r="U157" s="336"/>
      <c r="V157" s="336"/>
      <c r="W157" s="336"/>
      <c r="X157" s="336"/>
      <c r="Y157" s="336"/>
      <c r="Z157" s="336"/>
      <c r="AA157" s="336"/>
      <c r="AB157" s="336"/>
      <c r="AC157" s="336"/>
      <c r="AD157" s="336"/>
      <c r="AE157" s="336"/>
      <c r="AF157" s="336"/>
      <c r="AG157" s="336"/>
      <c r="AH157" s="336"/>
      <c r="AI157" s="336"/>
    </row>
    <row r="158" spans="9:35">
      <c r="I158" s="336"/>
      <c r="J158" s="336"/>
      <c r="K158" s="336"/>
      <c r="L158" s="336"/>
      <c r="M158" s="336"/>
      <c r="N158" s="336"/>
      <c r="O158" s="336"/>
      <c r="P158" s="336"/>
      <c r="Q158" s="336"/>
      <c r="R158" s="336"/>
      <c r="S158" s="336"/>
      <c r="T158" s="336"/>
      <c r="U158" s="336"/>
      <c r="V158" s="336"/>
      <c r="W158" s="336"/>
      <c r="X158" s="336"/>
      <c r="Y158" s="336"/>
      <c r="Z158" s="336"/>
      <c r="AA158" s="336"/>
      <c r="AB158" s="336"/>
      <c r="AC158" s="336"/>
      <c r="AD158" s="336"/>
      <c r="AE158" s="336"/>
      <c r="AF158" s="336"/>
      <c r="AG158" s="336"/>
      <c r="AH158" s="336"/>
      <c r="AI158" s="336"/>
    </row>
    <row r="159" spans="9:35">
      <c r="I159" s="336"/>
      <c r="J159" s="336"/>
      <c r="K159" s="336"/>
      <c r="L159" s="336"/>
      <c r="M159" s="336"/>
      <c r="N159" s="336"/>
      <c r="O159" s="336"/>
      <c r="P159" s="336"/>
      <c r="Q159" s="336"/>
      <c r="R159" s="336"/>
      <c r="S159" s="336"/>
      <c r="T159" s="336"/>
      <c r="U159" s="336"/>
      <c r="V159" s="336"/>
      <c r="W159" s="336"/>
      <c r="X159" s="336"/>
      <c r="Y159" s="336"/>
      <c r="Z159" s="336"/>
      <c r="AA159" s="336"/>
      <c r="AB159" s="336"/>
      <c r="AC159" s="336"/>
      <c r="AD159" s="336"/>
      <c r="AE159" s="336"/>
      <c r="AF159" s="336"/>
      <c r="AG159" s="336"/>
      <c r="AH159" s="336"/>
      <c r="AI159" s="336"/>
    </row>
    <row r="160" spans="9:35">
      <c r="I160" s="336"/>
      <c r="J160" s="336"/>
      <c r="K160" s="336"/>
      <c r="L160" s="336"/>
      <c r="M160" s="336"/>
      <c r="N160" s="336"/>
      <c r="O160" s="336"/>
      <c r="P160" s="336"/>
      <c r="Q160" s="336"/>
      <c r="R160" s="336"/>
      <c r="S160" s="336"/>
      <c r="T160" s="336"/>
      <c r="U160" s="336"/>
      <c r="V160" s="336"/>
      <c r="W160" s="336"/>
      <c r="X160" s="336"/>
      <c r="Y160" s="336"/>
      <c r="Z160" s="336"/>
      <c r="AA160" s="336"/>
      <c r="AB160" s="336"/>
      <c r="AC160" s="336"/>
      <c r="AD160" s="336"/>
      <c r="AE160" s="336"/>
      <c r="AF160" s="336"/>
      <c r="AG160" s="336"/>
      <c r="AH160" s="336"/>
      <c r="AI160" s="336"/>
    </row>
    <row r="161" spans="9:35">
      <c r="I161" s="336"/>
      <c r="J161" s="336"/>
      <c r="K161" s="336"/>
      <c r="L161" s="336"/>
      <c r="M161" s="336"/>
      <c r="N161" s="336"/>
      <c r="O161" s="336"/>
      <c r="P161" s="336"/>
      <c r="Q161" s="336"/>
      <c r="R161" s="336"/>
      <c r="S161" s="336"/>
      <c r="T161" s="336"/>
      <c r="U161" s="336"/>
      <c r="V161" s="336"/>
      <c r="W161" s="336"/>
      <c r="X161" s="336"/>
      <c r="Y161" s="336"/>
      <c r="Z161" s="336"/>
      <c r="AA161" s="336"/>
      <c r="AB161" s="336"/>
      <c r="AC161" s="336"/>
      <c r="AD161" s="336"/>
      <c r="AE161" s="336"/>
      <c r="AF161" s="336"/>
      <c r="AG161" s="336"/>
      <c r="AH161" s="336"/>
      <c r="AI161" s="336"/>
    </row>
    <row r="162" spans="9:35">
      <c r="I162" s="336"/>
      <c r="J162" s="336"/>
      <c r="K162" s="336"/>
      <c r="L162" s="336"/>
      <c r="M162" s="336"/>
      <c r="N162" s="336"/>
      <c r="O162" s="336"/>
      <c r="P162" s="336"/>
      <c r="Q162" s="336"/>
      <c r="R162" s="336"/>
      <c r="S162" s="336"/>
      <c r="T162" s="336"/>
      <c r="U162" s="336"/>
      <c r="V162" s="336"/>
      <c r="W162" s="336"/>
      <c r="X162" s="336"/>
      <c r="Y162" s="336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</row>
    <row r="163" spans="9:35">
      <c r="I163" s="336"/>
      <c r="J163" s="336"/>
      <c r="K163" s="336"/>
      <c r="L163" s="336"/>
      <c r="M163" s="336"/>
      <c r="N163" s="336"/>
      <c r="O163" s="336"/>
      <c r="P163" s="336"/>
      <c r="Q163" s="336"/>
      <c r="R163" s="336"/>
      <c r="S163" s="336"/>
      <c r="T163" s="336"/>
      <c r="U163" s="336"/>
      <c r="V163" s="336"/>
      <c r="W163" s="336"/>
      <c r="X163" s="336"/>
      <c r="Y163" s="336"/>
      <c r="Z163" s="336"/>
      <c r="AA163" s="336"/>
      <c r="AB163" s="336"/>
      <c r="AC163" s="336"/>
      <c r="AD163" s="336"/>
      <c r="AE163" s="336"/>
      <c r="AF163" s="336"/>
      <c r="AG163" s="336"/>
      <c r="AH163" s="336"/>
      <c r="AI163" s="336"/>
    </row>
    <row r="164" spans="9:35">
      <c r="I164" s="336"/>
      <c r="J164" s="336"/>
      <c r="K164" s="336"/>
      <c r="L164" s="336"/>
      <c r="M164" s="336"/>
      <c r="N164" s="336"/>
      <c r="O164" s="336"/>
      <c r="P164" s="336"/>
      <c r="Q164" s="336"/>
      <c r="R164" s="336"/>
      <c r="S164" s="336"/>
      <c r="T164" s="336"/>
      <c r="U164" s="336"/>
      <c r="V164" s="336"/>
      <c r="W164" s="336"/>
      <c r="X164" s="336"/>
      <c r="Y164" s="336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</row>
    <row r="165" spans="9:35">
      <c r="I165" s="336"/>
      <c r="J165" s="336"/>
      <c r="K165" s="336"/>
      <c r="L165" s="336"/>
      <c r="M165" s="336"/>
      <c r="N165" s="336"/>
      <c r="O165" s="336"/>
      <c r="P165" s="336"/>
      <c r="Q165" s="336"/>
      <c r="R165" s="336"/>
      <c r="S165" s="336"/>
      <c r="T165" s="336"/>
      <c r="U165" s="336"/>
      <c r="V165" s="336"/>
      <c r="W165" s="336"/>
      <c r="X165" s="336"/>
      <c r="Y165" s="336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</row>
    <row r="166" spans="9:35">
      <c r="I166" s="336"/>
      <c r="J166" s="336"/>
      <c r="K166" s="336"/>
      <c r="L166" s="336"/>
      <c r="M166" s="336"/>
      <c r="N166" s="336"/>
      <c r="O166" s="336"/>
      <c r="P166" s="336"/>
      <c r="Q166" s="336"/>
      <c r="R166" s="336"/>
      <c r="S166" s="336"/>
      <c r="T166" s="336"/>
      <c r="U166" s="336"/>
      <c r="V166" s="336"/>
      <c r="W166" s="336"/>
      <c r="X166" s="336"/>
      <c r="Y166" s="336"/>
      <c r="Z166" s="336"/>
      <c r="AA166" s="336"/>
      <c r="AB166" s="336"/>
      <c r="AC166" s="336"/>
      <c r="AD166" s="336"/>
      <c r="AE166" s="336"/>
      <c r="AF166" s="336"/>
      <c r="AG166" s="336"/>
      <c r="AH166" s="336"/>
      <c r="AI166" s="336"/>
    </row>
    <row r="167" spans="9:35">
      <c r="I167" s="336"/>
      <c r="J167" s="336"/>
      <c r="K167" s="336"/>
      <c r="L167" s="336"/>
      <c r="M167" s="336"/>
      <c r="N167" s="336"/>
      <c r="O167" s="336"/>
      <c r="P167" s="336"/>
      <c r="Q167" s="336"/>
      <c r="R167" s="336"/>
      <c r="S167" s="336"/>
      <c r="T167" s="336"/>
      <c r="U167" s="336"/>
      <c r="V167" s="336"/>
      <c r="W167" s="336"/>
      <c r="X167" s="336"/>
      <c r="Y167" s="336"/>
      <c r="Z167" s="336"/>
      <c r="AA167" s="336"/>
      <c r="AB167" s="336"/>
      <c r="AC167" s="336"/>
      <c r="AD167" s="336"/>
      <c r="AE167" s="336"/>
      <c r="AF167" s="336"/>
      <c r="AG167" s="336"/>
      <c r="AH167" s="336"/>
      <c r="AI167" s="336"/>
    </row>
    <row r="168" spans="9:35">
      <c r="I168" s="336"/>
      <c r="J168" s="336"/>
      <c r="K168" s="336"/>
      <c r="L168" s="336"/>
      <c r="M168" s="336"/>
      <c r="N168" s="336"/>
      <c r="O168" s="336"/>
      <c r="P168" s="336"/>
      <c r="Q168" s="336"/>
      <c r="R168" s="336"/>
      <c r="S168" s="336"/>
      <c r="T168" s="336"/>
      <c r="U168" s="336"/>
      <c r="V168" s="336"/>
      <c r="W168" s="336"/>
      <c r="X168" s="336"/>
      <c r="Y168" s="336"/>
      <c r="Z168" s="336"/>
      <c r="AA168" s="336"/>
      <c r="AB168" s="336"/>
      <c r="AC168" s="336"/>
      <c r="AD168" s="336"/>
      <c r="AE168" s="336"/>
      <c r="AF168" s="336"/>
      <c r="AG168" s="336"/>
      <c r="AH168" s="336"/>
      <c r="AI168" s="336"/>
    </row>
    <row r="169" spans="9:35">
      <c r="I169" s="336"/>
      <c r="J169" s="336"/>
      <c r="K169" s="336"/>
      <c r="L169" s="336"/>
      <c r="M169" s="336"/>
      <c r="N169" s="336"/>
      <c r="O169" s="336"/>
      <c r="P169" s="336"/>
      <c r="Q169" s="336"/>
      <c r="R169" s="336"/>
      <c r="S169" s="336"/>
      <c r="T169" s="336"/>
      <c r="U169" s="336"/>
      <c r="V169" s="336"/>
      <c r="W169" s="336"/>
      <c r="X169" s="336"/>
      <c r="Y169" s="336"/>
      <c r="Z169" s="336"/>
      <c r="AA169" s="336"/>
      <c r="AB169" s="336"/>
      <c r="AC169" s="336"/>
      <c r="AD169" s="336"/>
      <c r="AE169" s="336"/>
      <c r="AF169" s="336"/>
      <c r="AG169" s="336"/>
      <c r="AH169" s="336"/>
      <c r="AI169" s="336"/>
    </row>
    <row r="170" spans="9:35">
      <c r="I170" s="336"/>
      <c r="J170" s="336"/>
      <c r="K170" s="336"/>
      <c r="L170" s="336"/>
      <c r="M170" s="336"/>
      <c r="N170" s="336"/>
      <c r="O170" s="336"/>
      <c r="P170" s="336"/>
      <c r="Q170" s="336"/>
      <c r="R170" s="336"/>
      <c r="S170" s="336"/>
      <c r="T170" s="336"/>
      <c r="U170" s="336"/>
      <c r="V170" s="336"/>
      <c r="W170" s="336"/>
      <c r="X170" s="336"/>
      <c r="Y170" s="336"/>
      <c r="Z170" s="336"/>
      <c r="AA170" s="336"/>
      <c r="AB170" s="336"/>
      <c r="AC170" s="336"/>
      <c r="AD170" s="336"/>
      <c r="AE170" s="336"/>
      <c r="AF170" s="336"/>
      <c r="AG170" s="336"/>
      <c r="AH170" s="336"/>
      <c r="AI170" s="336"/>
    </row>
    <row r="171" spans="9:35">
      <c r="I171" s="336"/>
      <c r="J171" s="336"/>
      <c r="K171" s="336"/>
      <c r="L171" s="336"/>
      <c r="M171" s="336"/>
      <c r="N171" s="336"/>
      <c r="O171" s="336"/>
      <c r="P171" s="336"/>
      <c r="Q171" s="336"/>
      <c r="R171" s="336"/>
      <c r="S171" s="336"/>
      <c r="T171" s="336"/>
      <c r="U171" s="336"/>
      <c r="V171" s="336"/>
      <c r="W171" s="336"/>
      <c r="X171" s="336"/>
      <c r="Y171" s="336"/>
      <c r="Z171" s="336"/>
      <c r="AA171" s="336"/>
      <c r="AB171" s="336"/>
      <c r="AC171" s="336"/>
      <c r="AD171" s="336"/>
      <c r="AE171" s="336"/>
      <c r="AF171" s="336"/>
      <c r="AG171" s="336"/>
      <c r="AH171" s="336"/>
      <c r="AI171" s="336"/>
    </row>
    <row r="172" spans="9:35">
      <c r="I172" s="336"/>
      <c r="J172" s="336"/>
      <c r="K172" s="336"/>
      <c r="L172" s="336"/>
      <c r="M172" s="336"/>
      <c r="N172" s="336"/>
      <c r="O172" s="336"/>
      <c r="P172" s="336"/>
      <c r="Q172" s="336"/>
      <c r="R172" s="336"/>
      <c r="S172" s="336"/>
      <c r="T172" s="336"/>
      <c r="U172" s="336"/>
      <c r="V172" s="336"/>
      <c r="W172" s="336"/>
      <c r="X172" s="336"/>
      <c r="Y172" s="336"/>
      <c r="Z172" s="336"/>
      <c r="AA172" s="336"/>
      <c r="AB172" s="336"/>
      <c r="AC172" s="336"/>
      <c r="AD172" s="336"/>
      <c r="AE172" s="336"/>
      <c r="AF172" s="336"/>
      <c r="AG172" s="336"/>
      <c r="AH172" s="336"/>
      <c r="AI172" s="336"/>
    </row>
    <row r="173" spans="9:35">
      <c r="I173" s="336"/>
      <c r="J173" s="336"/>
      <c r="K173" s="336"/>
      <c r="L173" s="336"/>
      <c r="M173" s="336"/>
      <c r="N173" s="336"/>
      <c r="O173" s="336"/>
      <c r="P173" s="336"/>
      <c r="Q173" s="336"/>
      <c r="R173" s="336"/>
      <c r="S173" s="336"/>
      <c r="T173" s="336"/>
      <c r="U173" s="336"/>
      <c r="V173" s="336"/>
      <c r="W173" s="336"/>
      <c r="X173" s="336"/>
      <c r="Y173" s="336"/>
      <c r="Z173" s="336"/>
      <c r="AA173" s="336"/>
      <c r="AB173" s="336"/>
      <c r="AC173" s="336"/>
      <c r="AD173" s="336"/>
      <c r="AE173" s="336"/>
      <c r="AF173" s="336"/>
      <c r="AG173" s="336"/>
      <c r="AH173" s="336"/>
      <c r="AI173" s="336"/>
    </row>
    <row r="174" spans="9:35">
      <c r="I174" s="336"/>
      <c r="J174" s="336"/>
      <c r="K174" s="336"/>
      <c r="L174" s="336"/>
      <c r="M174" s="336"/>
      <c r="N174" s="336"/>
      <c r="O174" s="336"/>
      <c r="P174" s="336"/>
      <c r="Q174" s="336"/>
      <c r="R174" s="336"/>
      <c r="S174" s="336"/>
      <c r="T174" s="336"/>
      <c r="U174" s="336"/>
      <c r="V174" s="336"/>
      <c r="W174" s="336"/>
      <c r="X174" s="336"/>
      <c r="Y174" s="336"/>
      <c r="Z174" s="336"/>
      <c r="AA174" s="336"/>
      <c r="AB174" s="336"/>
      <c r="AC174" s="336"/>
      <c r="AD174" s="336"/>
      <c r="AE174" s="336"/>
      <c r="AF174" s="336"/>
      <c r="AG174" s="336"/>
      <c r="AH174" s="336"/>
      <c r="AI174" s="336"/>
    </row>
    <row r="175" spans="9:35">
      <c r="I175" s="336"/>
      <c r="J175" s="336"/>
      <c r="K175" s="336"/>
      <c r="L175" s="336"/>
      <c r="M175" s="336"/>
      <c r="N175" s="336"/>
      <c r="O175" s="336"/>
      <c r="P175" s="336"/>
      <c r="Q175" s="336"/>
      <c r="R175" s="336"/>
      <c r="S175" s="336"/>
      <c r="T175" s="336"/>
      <c r="U175" s="336"/>
      <c r="V175" s="336"/>
      <c r="W175" s="336"/>
      <c r="X175" s="336"/>
      <c r="Y175" s="336"/>
      <c r="Z175" s="336"/>
      <c r="AA175" s="336"/>
      <c r="AB175" s="336"/>
      <c r="AC175" s="336"/>
      <c r="AD175" s="336"/>
      <c r="AE175" s="336"/>
      <c r="AF175" s="336"/>
      <c r="AG175" s="336"/>
      <c r="AH175" s="336"/>
      <c r="AI175" s="336"/>
    </row>
    <row r="176" spans="9:35">
      <c r="I176" s="336"/>
      <c r="J176" s="336"/>
      <c r="K176" s="336"/>
      <c r="L176" s="336"/>
      <c r="M176" s="336"/>
      <c r="N176" s="336"/>
      <c r="O176" s="336"/>
      <c r="P176" s="336"/>
      <c r="Q176" s="336"/>
      <c r="R176" s="336"/>
      <c r="S176" s="336"/>
      <c r="T176" s="336"/>
      <c r="U176" s="336"/>
      <c r="V176" s="336"/>
      <c r="W176" s="336"/>
      <c r="X176" s="336"/>
      <c r="Y176" s="336"/>
      <c r="Z176" s="336"/>
      <c r="AA176" s="336"/>
      <c r="AB176" s="336"/>
      <c r="AC176" s="336"/>
      <c r="AD176" s="336"/>
      <c r="AE176" s="336"/>
      <c r="AF176" s="336"/>
      <c r="AG176" s="336"/>
      <c r="AH176" s="336"/>
      <c r="AI176" s="336"/>
    </row>
    <row r="177" spans="9:35">
      <c r="I177" s="336"/>
      <c r="J177" s="336"/>
      <c r="K177" s="336"/>
      <c r="L177" s="336"/>
      <c r="M177" s="336"/>
      <c r="N177" s="336"/>
      <c r="O177" s="336"/>
      <c r="P177" s="336"/>
      <c r="Q177" s="336"/>
      <c r="R177" s="336"/>
      <c r="S177" s="336"/>
      <c r="T177" s="336"/>
      <c r="U177" s="336"/>
      <c r="V177" s="336"/>
      <c r="W177" s="336"/>
      <c r="X177" s="336"/>
      <c r="Y177" s="336"/>
      <c r="Z177" s="336"/>
      <c r="AA177" s="336"/>
      <c r="AB177" s="336"/>
      <c r="AC177" s="336"/>
      <c r="AD177" s="336"/>
      <c r="AE177" s="336"/>
      <c r="AF177" s="336"/>
      <c r="AG177" s="336"/>
      <c r="AH177" s="336"/>
      <c r="AI177" s="336"/>
    </row>
    <row r="178" spans="9:35">
      <c r="I178" s="336"/>
      <c r="J178" s="336"/>
      <c r="K178" s="336"/>
      <c r="L178" s="336"/>
      <c r="M178" s="336"/>
      <c r="N178" s="336"/>
      <c r="O178" s="336"/>
      <c r="P178" s="336"/>
      <c r="Q178" s="336"/>
      <c r="R178" s="336"/>
      <c r="S178" s="336"/>
      <c r="T178" s="336"/>
      <c r="U178" s="336"/>
      <c r="V178" s="336"/>
      <c r="W178" s="336"/>
      <c r="X178" s="336"/>
      <c r="Y178" s="336"/>
      <c r="Z178" s="336"/>
      <c r="AA178" s="336"/>
      <c r="AB178" s="336"/>
      <c r="AC178" s="336"/>
      <c r="AD178" s="336"/>
      <c r="AE178" s="336"/>
      <c r="AF178" s="336"/>
      <c r="AG178" s="336"/>
      <c r="AH178" s="336"/>
      <c r="AI178" s="336"/>
    </row>
    <row r="179" spans="9:35">
      <c r="I179" s="336"/>
      <c r="J179" s="336"/>
      <c r="K179" s="336"/>
      <c r="L179" s="336"/>
      <c r="M179" s="336"/>
      <c r="N179" s="336"/>
      <c r="O179" s="336"/>
      <c r="P179" s="336"/>
      <c r="Q179" s="336"/>
      <c r="R179" s="336"/>
      <c r="S179" s="336"/>
      <c r="T179" s="336"/>
      <c r="U179" s="336"/>
      <c r="V179" s="336"/>
      <c r="W179" s="336"/>
      <c r="X179" s="336"/>
      <c r="Y179" s="336"/>
      <c r="Z179" s="336"/>
      <c r="AA179" s="336"/>
      <c r="AB179" s="336"/>
      <c r="AC179" s="336"/>
      <c r="AD179" s="336"/>
      <c r="AE179" s="336"/>
      <c r="AF179" s="336"/>
      <c r="AG179" s="336"/>
      <c r="AH179" s="336"/>
      <c r="AI179" s="336"/>
    </row>
    <row r="180" spans="9:35">
      <c r="I180" s="336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  <c r="AA180" s="336"/>
      <c r="AB180" s="336"/>
      <c r="AC180" s="336"/>
      <c r="AD180" s="336"/>
      <c r="AE180" s="336"/>
      <c r="AF180" s="336"/>
      <c r="AG180" s="336"/>
      <c r="AH180" s="336"/>
      <c r="AI180" s="336"/>
    </row>
    <row r="181" spans="9:35">
      <c r="I181" s="336"/>
      <c r="J181" s="336"/>
      <c r="K181" s="336"/>
      <c r="L181" s="336"/>
      <c r="M181" s="336"/>
      <c r="N181" s="336"/>
      <c r="O181" s="336"/>
      <c r="P181" s="336"/>
      <c r="Q181" s="336"/>
      <c r="R181" s="336"/>
      <c r="S181" s="336"/>
      <c r="T181" s="336"/>
      <c r="U181" s="336"/>
      <c r="V181" s="336"/>
      <c r="W181" s="336"/>
      <c r="X181" s="336"/>
      <c r="Y181" s="336"/>
      <c r="Z181" s="336"/>
      <c r="AA181" s="336"/>
      <c r="AB181" s="336"/>
      <c r="AC181" s="336"/>
      <c r="AD181" s="336"/>
      <c r="AE181" s="336"/>
      <c r="AF181" s="336"/>
      <c r="AG181" s="336"/>
      <c r="AH181" s="336"/>
      <c r="AI181" s="336"/>
    </row>
    <row r="182" spans="9:35">
      <c r="I182" s="336"/>
      <c r="J182" s="336"/>
      <c r="K182" s="336"/>
      <c r="L182" s="336"/>
      <c r="M182" s="336"/>
      <c r="N182" s="336"/>
      <c r="O182" s="336"/>
      <c r="P182" s="336"/>
      <c r="Q182" s="336"/>
      <c r="R182" s="336"/>
      <c r="S182" s="336"/>
      <c r="T182" s="336"/>
      <c r="U182" s="336"/>
      <c r="V182" s="336"/>
      <c r="W182" s="336"/>
      <c r="X182" s="336"/>
      <c r="Y182" s="336"/>
      <c r="Z182" s="336"/>
      <c r="AA182" s="336"/>
      <c r="AB182" s="336"/>
      <c r="AC182" s="336"/>
      <c r="AD182" s="336"/>
      <c r="AE182" s="336"/>
      <c r="AF182" s="336"/>
      <c r="AG182" s="336"/>
      <c r="AH182" s="336"/>
      <c r="AI182" s="336"/>
    </row>
    <row r="183" spans="9:35">
      <c r="I183" s="336"/>
      <c r="J183" s="336"/>
      <c r="K183" s="336"/>
      <c r="L183" s="336"/>
      <c r="M183" s="336"/>
      <c r="N183" s="336"/>
      <c r="O183" s="336"/>
      <c r="P183" s="336"/>
      <c r="Q183" s="336"/>
      <c r="R183" s="336"/>
      <c r="S183" s="336"/>
      <c r="T183" s="336"/>
      <c r="U183" s="336"/>
      <c r="V183" s="336"/>
      <c r="W183" s="336"/>
      <c r="X183" s="336"/>
      <c r="Y183" s="336"/>
      <c r="Z183" s="336"/>
      <c r="AA183" s="336"/>
      <c r="AB183" s="336"/>
      <c r="AC183" s="336"/>
      <c r="AD183" s="336"/>
      <c r="AE183" s="336"/>
      <c r="AF183" s="336"/>
      <c r="AG183" s="336"/>
      <c r="AH183" s="336"/>
      <c r="AI183" s="336"/>
    </row>
    <row r="184" spans="9:35">
      <c r="I184" s="336"/>
      <c r="J184" s="336"/>
      <c r="K184" s="336"/>
      <c r="L184" s="336"/>
      <c r="M184" s="336"/>
      <c r="N184" s="336"/>
      <c r="O184" s="336"/>
      <c r="P184" s="336"/>
      <c r="Q184" s="336"/>
      <c r="R184" s="336"/>
      <c r="S184" s="336"/>
      <c r="T184" s="336"/>
      <c r="U184" s="336"/>
      <c r="V184" s="336"/>
      <c r="W184" s="336"/>
      <c r="X184" s="336"/>
      <c r="Y184" s="336"/>
      <c r="Z184" s="336"/>
      <c r="AA184" s="336"/>
      <c r="AB184" s="336"/>
      <c r="AC184" s="336"/>
      <c r="AD184" s="336"/>
      <c r="AE184" s="336"/>
      <c r="AF184" s="336"/>
      <c r="AG184" s="336"/>
      <c r="AH184" s="336"/>
      <c r="AI184" s="336"/>
    </row>
    <row r="185" spans="9:35">
      <c r="I185" s="336"/>
      <c r="J185" s="336"/>
      <c r="K185" s="336"/>
      <c r="L185" s="336"/>
      <c r="M185" s="336"/>
      <c r="N185" s="336"/>
      <c r="O185" s="336"/>
      <c r="P185" s="336"/>
      <c r="Q185" s="336"/>
      <c r="R185" s="336"/>
      <c r="S185" s="336"/>
      <c r="T185" s="336"/>
      <c r="U185" s="336"/>
      <c r="V185" s="336"/>
      <c r="W185" s="336"/>
      <c r="X185" s="336"/>
      <c r="Y185" s="336"/>
      <c r="Z185" s="336"/>
      <c r="AA185" s="336"/>
      <c r="AB185" s="336"/>
      <c r="AC185" s="336"/>
      <c r="AD185" s="336"/>
      <c r="AE185" s="336"/>
      <c r="AF185" s="336"/>
      <c r="AG185" s="336"/>
      <c r="AH185" s="336"/>
      <c r="AI185" s="336"/>
    </row>
    <row r="186" spans="9:35">
      <c r="I186" s="336"/>
      <c r="J186" s="336"/>
      <c r="K186" s="336"/>
      <c r="L186" s="336"/>
      <c r="M186" s="336"/>
      <c r="N186" s="336"/>
      <c r="O186" s="336"/>
      <c r="P186" s="336"/>
      <c r="Q186" s="336"/>
      <c r="R186" s="336"/>
      <c r="S186" s="336"/>
      <c r="T186" s="336"/>
      <c r="U186" s="336"/>
      <c r="V186" s="336"/>
      <c r="W186" s="336"/>
      <c r="X186" s="336"/>
      <c r="Y186" s="336"/>
      <c r="Z186" s="336"/>
      <c r="AA186" s="336"/>
      <c r="AB186" s="336"/>
      <c r="AC186" s="336"/>
      <c r="AD186" s="336"/>
      <c r="AE186" s="336"/>
      <c r="AF186" s="336"/>
      <c r="AG186" s="336"/>
      <c r="AH186" s="336"/>
      <c r="AI186" s="336"/>
    </row>
    <row r="187" spans="9:35">
      <c r="I187" s="336"/>
      <c r="J187" s="336"/>
      <c r="K187" s="336"/>
      <c r="L187" s="336"/>
      <c r="M187" s="336"/>
      <c r="N187" s="336"/>
      <c r="O187" s="336"/>
      <c r="P187" s="336"/>
      <c r="Q187" s="336"/>
      <c r="R187" s="336"/>
      <c r="S187" s="336"/>
      <c r="T187" s="336"/>
      <c r="U187" s="336"/>
      <c r="V187" s="336"/>
      <c r="W187" s="336"/>
      <c r="X187" s="336"/>
      <c r="Y187" s="336"/>
      <c r="Z187" s="336"/>
      <c r="AA187" s="336"/>
      <c r="AB187" s="336"/>
      <c r="AC187" s="336"/>
      <c r="AD187" s="336"/>
      <c r="AE187" s="336"/>
      <c r="AF187" s="336"/>
      <c r="AG187" s="336"/>
      <c r="AH187" s="336"/>
      <c r="AI187" s="336"/>
    </row>
    <row r="188" spans="9:35">
      <c r="I188" s="336"/>
      <c r="J188" s="336"/>
      <c r="K188" s="336"/>
      <c r="L188" s="336"/>
      <c r="M188" s="336"/>
      <c r="N188" s="336"/>
      <c r="O188" s="336"/>
      <c r="P188" s="336"/>
      <c r="Q188" s="336"/>
      <c r="R188" s="336"/>
      <c r="S188" s="336"/>
      <c r="T188" s="336"/>
      <c r="U188" s="336"/>
      <c r="V188" s="336"/>
      <c r="W188" s="336"/>
      <c r="X188" s="336"/>
      <c r="Y188" s="336"/>
      <c r="Z188" s="336"/>
      <c r="AA188" s="336"/>
      <c r="AB188" s="336"/>
      <c r="AC188" s="336"/>
      <c r="AD188" s="336"/>
      <c r="AE188" s="336"/>
      <c r="AF188" s="336"/>
      <c r="AG188" s="336"/>
      <c r="AH188" s="336"/>
      <c r="AI188" s="336"/>
    </row>
    <row r="189" spans="9:35">
      <c r="I189" s="336"/>
      <c r="J189" s="336"/>
      <c r="K189" s="336"/>
      <c r="L189" s="336"/>
      <c r="M189" s="336"/>
      <c r="N189" s="336"/>
      <c r="O189" s="336"/>
      <c r="P189" s="336"/>
      <c r="Q189" s="336"/>
      <c r="R189" s="336"/>
      <c r="S189" s="336"/>
      <c r="T189" s="336"/>
      <c r="U189" s="336"/>
      <c r="V189" s="336"/>
      <c r="W189" s="336"/>
      <c r="X189" s="336"/>
      <c r="Y189" s="336"/>
      <c r="Z189" s="336"/>
      <c r="AA189" s="336"/>
      <c r="AB189" s="336"/>
      <c r="AC189" s="336"/>
      <c r="AD189" s="336"/>
      <c r="AE189" s="336"/>
      <c r="AF189" s="336"/>
      <c r="AG189" s="336"/>
      <c r="AH189" s="336"/>
      <c r="AI189" s="336"/>
    </row>
    <row r="190" spans="9:35">
      <c r="I190" s="336"/>
      <c r="J190" s="336"/>
      <c r="K190" s="336"/>
      <c r="L190" s="336"/>
      <c r="M190" s="336"/>
      <c r="N190" s="336"/>
      <c r="O190" s="336"/>
      <c r="P190" s="336"/>
      <c r="Q190" s="336"/>
      <c r="R190" s="336"/>
      <c r="S190" s="336"/>
      <c r="T190" s="336"/>
      <c r="U190" s="336"/>
      <c r="V190" s="336"/>
      <c r="W190" s="336"/>
      <c r="X190" s="336"/>
      <c r="Y190" s="336"/>
      <c r="Z190" s="336"/>
      <c r="AA190" s="336"/>
      <c r="AB190" s="336"/>
      <c r="AC190" s="336"/>
      <c r="AD190" s="336"/>
      <c r="AE190" s="336"/>
      <c r="AF190" s="336"/>
      <c r="AG190" s="336"/>
      <c r="AH190" s="336"/>
      <c r="AI190" s="336"/>
    </row>
    <row r="191" spans="9:35">
      <c r="I191" s="336"/>
      <c r="J191" s="336"/>
      <c r="K191" s="336"/>
      <c r="L191" s="336"/>
      <c r="M191" s="336"/>
      <c r="N191" s="336"/>
      <c r="O191" s="336"/>
      <c r="P191" s="336"/>
      <c r="Q191" s="336"/>
      <c r="R191" s="336"/>
      <c r="S191" s="336"/>
      <c r="T191" s="336"/>
      <c r="U191" s="336"/>
      <c r="V191" s="336"/>
      <c r="W191" s="336"/>
      <c r="X191" s="336"/>
      <c r="Y191" s="336"/>
      <c r="Z191" s="336"/>
      <c r="AA191" s="336"/>
      <c r="AB191" s="336"/>
      <c r="AC191" s="336"/>
      <c r="AD191" s="336"/>
      <c r="AE191" s="336"/>
      <c r="AF191" s="336"/>
      <c r="AG191" s="336"/>
      <c r="AH191" s="336"/>
      <c r="AI191" s="336"/>
    </row>
    <row r="192" spans="9:35">
      <c r="I192" s="336"/>
      <c r="J192" s="336"/>
      <c r="K192" s="336"/>
      <c r="L192" s="336"/>
      <c r="M192" s="336"/>
      <c r="N192" s="336"/>
      <c r="O192" s="336"/>
      <c r="P192" s="336"/>
      <c r="Q192" s="336"/>
      <c r="R192" s="336"/>
      <c r="S192" s="336"/>
      <c r="T192" s="336"/>
      <c r="U192" s="336"/>
      <c r="V192" s="336"/>
      <c r="W192" s="336"/>
      <c r="X192" s="336"/>
      <c r="Y192" s="336"/>
      <c r="Z192" s="336"/>
      <c r="AA192" s="336"/>
      <c r="AB192" s="336"/>
      <c r="AC192" s="336"/>
      <c r="AD192" s="336"/>
      <c r="AE192" s="336"/>
      <c r="AF192" s="336"/>
      <c r="AG192" s="336"/>
      <c r="AH192" s="336"/>
      <c r="AI192" s="336"/>
    </row>
    <row r="193" spans="9:35">
      <c r="I193" s="336"/>
      <c r="J193" s="336"/>
      <c r="K193" s="336"/>
      <c r="L193" s="336"/>
      <c r="M193" s="336"/>
      <c r="N193" s="336"/>
      <c r="O193" s="336"/>
      <c r="P193" s="336"/>
      <c r="Q193" s="336"/>
      <c r="R193" s="336"/>
      <c r="S193" s="336"/>
      <c r="T193" s="336"/>
      <c r="U193" s="336"/>
      <c r="V193" s="336"/>
      <c r="W193" s="336"/>
      <c r="X193" s="336"/>
      <c r="Y193" s="336"/>
      <c r="Z193" s="336"/>
      <c r="AA193" s="336"/>
      <c r="AB193" s="336"/>
      <c r="AC193" s="336"/>
      <c r="AD193" s="336"/>
      <c r="AE193" s="336"/>
      <c r="AF193" s="336"/>
      <c r="AG193" s="336"/>
      <c r="AH193" s="336"/>
      <c r="AI193" s="336"/>
    </row>
    <row r="194" spans="9:35">
      <c r="I194" s="336"/>
      <c r="J194" s="336"/>
      <c r="K194" s="336"/>
      <c r="L194" s="336"/>
      <c r="M194" s="336"/>
      <c r="N194" s="336"/>
      <c r="O194" s="336"/>
      <c r="P194" s="336"/>
      <c r="Q194" s="336"/>
      <c r="R194" s="336"/>
      <c r="S194" s="336"/>
      <c r="T194" s="336"/>
      <c r="U194" s="336"/>
      <c r="V194" s="336"/>
      <c r="W194" s="336"/>
      <c r="X194" s="336"/>
      <c r="Y194" s="336"/>
      <c r="Z194" s="336"/>
      <c r="AA194" s="336"/>
      <c r="AB194" s="336"/>
      <c r="AC194" s="336"/>
      <c r="AD194" s="336"/>
      <c r="AE194" s="336"/>
      <c r="AF194" s="336"/>
      <c r="AG194" s="336"/>
      <c r="AH194" s="336"/>
      <c r="AI194" s="336"/>
    </row>
    <row r="195" spans="9:35">
      <c r="I195" s="336"/>
      <c r="J195" s="336"/>
      <c r="K195" s="336"/>
      <c r="L195" s="336"/>
      <c r="M195" s="336"/>
      <c r="N195" s="336"/>
      <c r="O195" s="336"/>
      <c r="P195" s="336"/>
      <c r="Q195" s="336"/>
      <c r="R195" s="336"/>
      <c r="S195" s="336"/>
      <c r="T195" s="336"/>
      <c r="U195" s="336"/>
      <c r="V195" s="336"/>
      <c r="W195" s="336"/>
      <c r="X195" s="336"/>
      <c r="Y195" s="336"/>
      <c r="Z195" s="336"/>
      <c r="AA195" s="336"/>
      <c r="AB195" s="336"/>
      <c r="AC195" s="336"/>
      <c r="AD195" s="336"/>
      <c r="AE195" s="336"/>
      <c r="AF195" s="336"/>
      <c r="AG195" s="336"/>
      <c r="AH195" s="336"/>
      <c r="AI195" s="336"/>
    </row>
    <row r="196" spans="9:35">
      <c r="I196" s="336"/>
      <c r="J196" s="336"/>
      <c r="K196" s="336"/>
      <c r="L196" s="336"/>
      <c r="M196" s="336"/>
      <c r="N196" s="336"/>
      <c r="O196" s="336"/>
      <c r="P196" s="336"/>
      <c r="Q196" s="336"/>
      <c r="R196" s="336"/>
      <c r="S196" s="336"/>
      <c r="T196" s="336"/>
      <c r="U196" s="336"/>
      <c r="V196" s="336"/>
      <c r="W196" s="336"/>
      <c r="X196" s="336"/>
      <c r="Y196" s="336"/>
      <c r="Z196" s="336"/>
      <c r="AA196" s="336"/>
      <c r="AB196" s="336"/>
      <c r="AC196" s="336"/>
      <c r="AD196" s="336"/>
      <c r="AE196" s="336"/>
      <c r="AF196" s="336"/>
      <c r="AG196" s="336"/>
      <c r="AH196" s="336"/>
      <c r="AI196" s="336"/>
    </row>
    <row r="197" spans="9:35">
      <c r="I197" s="336"/>
      <c r="J197" s="336"/>
      <c r="K197" s="336"/>
      <c r="L197" s="336"/>
      <c r="M197" s="336"/>
      <c r="N197" s="336"/>
      <c r="O197" s="336"/>
      <c r="P197" s="336"/>
      <c r="Q197" s="336"/>
      <c r="R197" s="336"/>
      <c r="S197" s="336"/>
      <c r="T197" s="336"/>
      <c r="U197" s="336"/>
      <c r="V197" s="336"/>
      <c r="W197" s="336"/>
      <c r="X197" s="336"/>
      <c r="Y197" s="336"/>
      <c r="Z197" s="336"/>
      <c r="AA197" s="336"/>
      <c r="AB197" s="336"/>
      <c r="AC197" s="336"/>
      <c r="AD197" s="336"/>
      <c r="AE197" s="336"/>
      <c r="AF197" s="336"/>
      <c r="AG197" s="336"/>
      <c r="AH197" s="336"/>
      <c r="AI197" s="336"/>
    </row>
    <row r="198" spans="9:35">
      <c r="I198" s="336"/>
      <c r="J198" s="336"/>
      <c r="K198" s="336"/>
      <c r="L198" s="336"/>
      <c r="M198" s="336"/>
      <c r="N198" s="336"/>
      <c r="O198" s="336"/>
      <c r="P198" s="336"/>
      <c r="Q198" s="336"/>
      <c r="R198" s="336"/>
      <c r="S198" s="336"/>
      <c r="T198" s="336"/>
      <c r="U198" s="336"/>
      <c r="V198" s="336"/>
      <c r="W198" s="336"/>
      <c r="X198" s="336"/>
      <c r="Y198" s="336"/>
      <c r="Z198" s="336"/>
      <c r="AA198" s="336"/>
      <c r="AB198" s="336"/>
      <c r="AC198" s="336"/>
      <c r="AD198" s="336"/>
      <c r="AE198" s="336"/>
      <c r="AF198" s="336"/>
      <c r="AG198" s="336"/>
      <c r="AH198" s="336"/>
      <c r="AI198" s="336"/>
    </row>
    <row r="199" spans="9:35">
      <c r="I199" s="336"/>
      <c r="J199" s="336"/>
      <c r="K199" s="336"/>
      <c r="L199" s="336"/>
      <c r="M199" s="336"/>
      <c r="N199" s="336"/>
      <c r="O199" s="336"/>
      <c r="P199" s="336"/>
      <c r="Q199" s="336"/>
      <c r="R199" s="336"/>
      <c r="S199" s="336"/>
      <c r="T199" s="336"/>
      <c r="U199" s="336"/>
      <c r="V199" s="336"/>
      <c r="W199" s="336"/>
      <c r="X199" s="336"/>
      <c r="Y199" s="336"/>
      <c r="Z199" s="336"/>
      <c r="AA199" s="336"/>
      <c r="AB199" s="336"/>
      <c r="AC199" s="336"/>
      <c r="AD199" s="336"/>
      <c r="AE199" s="336"/>
      <c r="AF199" s="336"/>
      <c r="AG199" s="336"/>
      <c r="AH199" s="336"/>
      <c r="AI199" s="336"/>
    </row>
    <row r="200" spans="9:35">
      <c r="I200" s="336"/>
      <c r="J200" s="336"/>
      <c r="K200" s="336"/>
      <c r="L200" s="336"/>
      <c r="M200" s="336"/>
      <c r="N200" s="336"/>
      <c r="O200" s="336"/>
      <c r="P200" s="336"/>
      <c r="Q200" s="336"/>
      <c r="R200" s="336"/>
      <c r="S200" s="336"/>
      <c r="T200" s="336"/>
      <c r="U200" s="336"/>
      <c r="V200" s="336"/>
      <c r="W200" s="336"/>
      <c r="X200" s="336"/>
      <c r="Y200" s="336"/>
      <c r="Z200" s="336"/>
      <c r="AA200" s="336"/>
      <c r="AB200" s="336"/>
      <c r="AC200" s="336"/>
      <c r="AD200" s="336"/>
      <c r="AE200" s="336"/>
      <c r="AF200" s="336"/>
      <c r="AG200" s="336"/>
      <c r="AH200" s="336"/>
      <c r="AI200" s="336"/>
    </row>
    <row r="201" spans="9:35">
      <c r="I201" s="336"/>
      <c r="J201" s="336"/>
      <c r="K201" s="336"/>
      <c r="L201" s="336"/>
      <c r="M201" s="336"/>
      <c r="N201" s="336"/>
      <c r="O201" s="336"/>
      <c r="P201" s="336"/>
      <c r="Q201" s="336"/>
      <c r="R201" s="336"/>
      <c r="S201" s="336"/>
      <c r="T201" s="336"/>
      <c r="U201" s="336"/>
      <c r="V201" s="336"/>
      <c r="W201" s="336"/>
      <c r="X201" s="336"/>
      <c r="Y201" s="336"/>
      <c r="Z201" s="336"/>
      <c r="AA201" s="336"/>
      <c r="AB201" s="336"/>
      <c r="AC201" s="336"/>
      <c r="AD201" s="336"/>
      <c r="AE201" s="336"/>
      <c r="AF201" s="336"/>
      <c r="AG201" s="336"/>
      <c r="AH201" s="336"/>
      <c r="AI201" s="336"/>
    </row>
    <row r="202" spans="9:35">
      <c r="I202" s="336"/>
      <c r="J202" s="336"/>
      <c r="K202" s="336"/>
      <c r="L202" s="336"/>
      <c r="M202" s="336"/>
      <c r="N202" s="336"/>
      <c r="O202" s="336"/>
      <c r="P202" s="336"/>
      <c r="Q202" s="336"/>
      <c r="R202" s="336"/>
      <c r="S202" s="336"/>
      <c r="T202" s="336"/>
      <c r="U202" s="336"/>
      <c r="V202" s="336"/>
      <c r="W202" s="336"/>
      <c r="X202" s="336"/>
      <c r="Y202" s="336"/>
      <c r="Z202" s="336"/>
      <c r="AA202" s="336"/>
      <c r="AB202" s="336"/>
      <c r="AC202" s="336"/>
      <c r="AD202" s="336"/>
      <c r="AE202" s="336"/>
      <c r="AF202" s="336"/>
      <c r="AG202" s="336"/>
      <c r="AH202" s="336"/>
      <c r="AI202" s="336"/>
    </row>
    <row r="203" spans="9:35">
      <c r="I203" s="336"/>
      <c r="J203" s="336"/>
      <c r="K203" s="336"/>
      <c r="L203" s="336"/>
      <c r="M203" s="336"/>
      <c r="N203" s="336"/>
      <c r="O203" s="336"/>
      <c r="P203" s="336"/>
      <c r="Q203" s="336"/>
      <c r="R203" s="336"/>
      <c r="S203" s="336"/>
      <c r="T203" s="336"/>
      <c r="U203" s="336"/>
      <c r="V203" s="336"/>
      <c r="W203" s="336"/>
      <c r="X203" s="336"/>
      <c r="Y203" s="336"/>
      <c r="Z203" s="336"/>
      <c r="AA203" s="336"/>
      <c r="AB203" s="336"/>
      <c r="AC203" s="336"/>
      <c r="AD203" s="336"/>
      <c r="AE203" s="336"/>
      <c r="AF203" s="336"/>
      <c r="AG203" s="336"/>
      <c r="AH203" s="336"/>
      <c r="AI203" s="336"/>
    </row>
    <row r="204" spans="9:35">
      <c r="I204" s="336"/>
      <c r="J204" s="336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  <c r="AA204" s="336"/>
      <c r="AB204" s="336"/>
      <c r="AC204" s="336"/>
      <c r="AD204" s="336"/>
      <c r="AE204" s="336"/>
      <c r="AF204" s="336"/>
      <c r="AG204" s="336"/>
      <c r="AH204" s="336"/>
      <c r="AI204" s="336"/>
    </row>
    <row r="205" spans="9:35">
      <c r="I205" s="336"/>
      <c r="J205" s="336"/>
      <c r="K205" s="336"/>
      <c r="L205" s="336"/>
      <c r="M205" s="336"/>
      <c r="N205" s="336"/>
      <c r="O205" s="336"/>
      <c r="P205" s="336"/>
      <c r="Q205" s="336"/>
      <c r="R205" s="336"/>
      <c r="S205" s="336"/>
      <c r="T205" s="336"/>
      <c r="U205" s="336"/>
      <c r="V205" s="336"/>
      <c r="W205" s="336"/>
      <c r="X205" s="336"/>
      <c r="Y205" s="336"/>
      <c r="Z205" s="336"/>
      <c r="AA205" s="336"/>
      <c r="AB205" s="336"/>
      <c r="AC205" s="336"/>
      <c r="AD205" s="336"/>
      <c r="AE205" s="336"/>
      <c r="AF205" s="336"/>
      <c r="AG205" s="336"/>
      <c r="AH205" s="336"/>
      <c r="AI205" s="336"/>
    </row>
    <row r="206" spans="9:35">
      <c r="I206" s="336"/>
      <c r="J206" s="336"/>
      <c r="K206" s="336"/>
      <c r="L206" s="336"/>
      <c r="M206" s="336"/>
      <c r="N206" s="336"/>
      <c r="O206" s="336"/>
      <c r="P206" s="336"/>
      <c r="Q206" s="336"/>
      <c r="R206" s="336"/>
      <c r="S206" s="336"/>
      <c r="T206" s="336"/>
      <c r="U206" s="336"/>
      <c r="V206" s="336"/>
      <c r="W206" s="336"/>
      <c r="X206" s="336"/>
      <c r="Y206" s="336"/>
      <c r="Z206" s="336"/>
      <c r="AA206" s="336"/>
      <c r="AB206" s="336"/>
      <c r="AC206" s="336"/>
      <c r="AD206" s="336"/>
      <c r="AE206" s="336"/>
      <c r="AF206" s="336"/>
      <c r="AG206" s="336"/>
      <c r="AH206" s="336"/>
      <c r="AI206" s="336"/>
    </row>
    <row r="207" spans="9:35">
      <c r="I207" s="336"/>
      <c r="J207" s="336"/>
      <c r="K207" s="336"/>
      <c r="L207" s="336"/>
      <c r="M207" s="336"/>
      <c r="N207" s="336"/>
      <c r="O207" s="336"/>
      <c r="P207" s="336"/>
      <c r="Q207" s="336"/>
      <c r="R207" s="336"/>
      <c r="S207" s="336"/>
      <c r="T207" s="336"/>
      <c r="U207" s="336"/>
      <c r="V207" s="336"/>
      <c r="W207" s="336"/>
      <c r="X207" s="336"/>
      <c r="Y207" s="336"/>
      <c r="Z207" s="336"/>
      <c r="AA207" s="336"/>
      <c r="AB207" s="336"/>
      <c r="AC207" s="336"/>
      <c r="AD207" s="336"/>
      <c r="AE207" s="336"/>
      <c r="AF207" s="336"/>
      <c r="AG207" s="336"/>
      <c r="AH207" s="336"/>
      <c r="AI207" s="336"/>
    </row>
    <row r="208" spans="9:35">
      <c r="I208" s="336"/>
      <c r="J208" s="336"/>
      <c r="K208" s="336"/>
      <c r="L208" s="336"/>
      <c r="M208" s="336"/>
      <c r="N208" s="336"/>
      <c r="O208" s="336"/>
      <c r="P208" s="336"/>
      <c r="Q208" s="336"/>
      <c r="R208" s="336"/>
      <c r="S208" s="336"/>
      <c r="T208" s="336"/>
      <c r="U208" s="336"/>
      <c r="V208" s="336"/>
      <c r="W208" s="336"/>
      <c r="X208" s="336"/>
      <c r="Y208" s="336"/>
      <c r="Z208" s="336"/>
      <c r="AA208" s="336"/>
      <c r="AB208" s="336"/>
      <c r="AC208" s="336"/>
      <c r="AD208" s="336"/>
      <c r="AE208" s="336"/>
      <c r="AF208" s="336"/>
      <c r="AG208" s="336"/>
      <c r="AH208" s="336"/>
      <c r="AI208" s="336"/>
    </row>
    <row r="209" spans="9:35">
      <c r="I209" s="336"/>
      <c r="J209" s="336"/>
      <c r="K209" s="336"/>
      <c r="L209" s="336"/>
      <c r="M209" s="336"/>
      <c r="N209" s="336"/>
      <c r="O209" s="336"/>
      <c r="P209" s="336"/>
      <c r="Q209" s="336"/>
      <c r="R209" s="336"/>
      <c r="S209" s="336"/>
      <c r="T209" s="336"/>
      <c r="U209" s="336"/>
      <c r="V209" s="336"/>
      <c r="W209" s="336"/>
      <c r="X209" s="336"/>
      <c r="Y209" s="336"/>
      <c r="Z209" s="336"/>
      <c r="AA209" s="336"/>
      <c r="AB209" s="336"/>
      <c r="AC209" s="336"/>
      <c r="AD209" s="336"/>
      <c r="AE209" s="336"/>
      <c r="AF209" s="336"/>
      <c r="AG209" s="336"/>
      <c r="AH209" s="336"/>
      <c r="AI209" s="336"/>
    </row>
    <row r="210" spans="9:35">
      <c r="I210" s="336"/>
      <c r="J210" s="336"/>
      <c r="K210" s="336"/>
      <c r="L210" s="336"/>
      <c r="M210" s="336"/>
      <c r="N210" s="336"/>
      <c r="O210" s="336"/>
      <c r="P210" s="336"/>
      <c r="Q210" s="336"/>
      <c r="R210" s="336"/>
      <c r="S210" s="336"/>
      <c r="T210" s="336"/>
      <c r="U210" s="336"/>
      <c r="V210" s="336"/>
      <c r="W210" s="336"/>
      <c r="X210" s="336"/>
      <c r="Y210" s="336"/>
      <c r="Z210" s="336"/>
      <c r="AA210" s="336"/>
      <c r="AB210" s="336"/>
      <c r="AC210" s="336"/>
      <c r="AD210" s="336"/>
      <c r="AE210" s="336"/>
      <c r="AF210" s="336"/>
      <c r="AG210" s="336"/>
      <c r="AH210" s="336"/>
      <c r="AI210" s="336"/>
    </row>
    <row r="211" spans="9:35">
      <c r="I211" s="336"/>
      <c r="J211" s="336"/>
      <c r="K211" s="336"/>
      <c r="L211" s="336"/>
      <c r="M211" s="336"/>
      <c r="N211" s="336"/>
      <c r="O211" s="336"/>
      <c r="P211" s="336"/>
      <c r="Q211" s="336"/>
      <c r="R211" s="336"/>
      <c r="S211" s="336"/>
      <c r="T211" s="336"/>
      <c r="U211" s="336"/>
      <c r="V211" s="336"/>
      <c r="W211" s="336"/>
      <c r="X211" s="336"/>
      <c r="Y211" s="336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</row>
    <row r="212" spans="9:35">
      <c r="I212" s="336"/>
      <c r="J212" s="336"/>
      <c r="K212" s="336"/>
      <c r="L212" s="336"/>
      <c r="M212" s="336"/>
      <c r="N212" s="336"/>
      <c r="O212" s="336"/>
      <c r="P212" s="336"/>
      <c r="Q212" s="336"/>
      <c r="R212" s="336"/>
      <c r="S212" s="336"/>
      <c r="T212" s="336"/>
      <c r="U212" s="336"/>
      <c r="V212" s="336"/>
      <c r="W212" s="336"/>
      <c r="X212" s="336"/>
      <c r="Y212" s="336"/>
      <c r="Z212" s="336"/>
      <c r="AA212" s="336"/>
      <c r="AB212" s="336"/>
      <c r="AC212" s="336"/>
      <c r="AD212" s="336"/>
      <c r="AE212" s="336"/>
      <c r="AF212" s="336"/>
      <c r="AG212" s="336"/>
      <c r="AH212" s="336"/>
      <c r="AI212" s="336"/>
    </row>
    <row r="213" spans="9:35">
      <c r="I213" s="336"/>
      <c r="J213" s="336"/>
      <c r="K213" s="336"/>
      <c r="L213" s="336"/>
      <c r="M213" s="336"/>
      <c r="N213" s="336"/>
      <c r="O213" s="336"/>
      <c r="P213" s="336"/>
      <c r="Q213" s="336"/>
      <c r="R213" s="336"/>
      <c r="S213" s="336"/>
      <c r="T213" s="336"/>
      <c r="U213" s="336"/>
      <c r="V213" s="336"/>
      <c r="W213" s="336"/>
      <c r="X213" s="336"/>
      <c r="Y213" s="336"/>
      <c r="Z213" s="336"/>
      <c r="AA213" s="336"/>
      <c r="AB213" s="336"/>
      <c r="AC213" s="336"/>
      <c r="AD213" s="336"/>
      <c r="AE213" s="336"/>
      <c r="AF213" s="336"/>
      <c r="AG213" s="336"/>
      <c r="AH213" s="336"/>
      <c r="AI213" s="336"/>
    </row>
    <row r="214" spans="9:35">
      <c r="I214" s="336"/>
      <c r="J214" s="336"/>
      <c r="K214" s="336"/>
      <c r="L214" s="336"/>
      <c r="M214" s="336"/>
      <c r="N214" s="336"/>
      <c r="O214" s="336"/>
      <c r="P214" s="336"/>
      <c r="Q214" s="336"/>
      <c r="R214" s="336"/>
      <c r="S214" s="336"/>
      <c r="T214" s="336"/>
      <c r="U214" s="336"/>
      <c r="V214" s="336"/>
      <c r="W214" s="336"/>
      <c r="X214" s="336"/>
      <c r="Y214" s="336"/>
      <c r="Z214" s="336"/>
      <c r="AA214" s="336"/>
      <c r="AB214" s="336"/>
      <c r="AC214" s="336"/>
      <c r="AD214" s="336"/>
      <c r="AE214" s="336"/>
      <c r="AF214" s="336"/>
      <c r="AG214" s="336"/>
      <c r="AH214" s="336"/>
      <c r="AI214" s="336"/>
    </row>
    <row r="215" spans="9:35">
      <c r="I215" s="336"/>
      <c r="J215" s="336"/>
      <c r="K215" s="336"/>
      <c r="L215" s="336"/>
      <c r="M215" s="336"/>
      <c r="N215" s="336"/>
      <c r="O215" s="336"/>
      <c r="P215" s="336"/>
      <c r="Q215" s="336"/>
      <c r="R215" s="336"/>
      <c r="S215" s="336"/>
      <c r="T215" s="336"/>
      <c r="U215" s="336"/>
      <c r="V215" s="336"/>
      <c r="W215" s="336"/>
      <c r="X215" s="336"/>
      <c r="Y215" s="336"/>
      <c r="Z215" s="336"/>
      <c r="AA215" s="336"/>
      <c r="AB215" s="336"/>
      <c r="AC215" s="336"/>
      <c r="AD215" s="336"/>
      <c r="AE215" s="336"/>
      <c r="AF215" s="336"/>
      <c r="AG215" s="336"/>
      <c r="AH215" s="336"/>
      <c r="AI215" s="336"/>
    </row>
    <row r="216" spans="9:35">
      <c r="I216" s="336"/>
      <c r="J216" s="336"/>
      <c r="K216" s="336"/>
      <c r="L216" s="336"/>
      <c r="M216" s="336"/>
      <c r="N216" s="336"/>
      <c r="O216" s="336"/>
      <c r="P216" s="336"/>
      <c r="Q216" s="336"/>
      <c r="R216" s="336"/>
      <c r="S216" s="336"/>
      <c r="T216" s="336"/>
      <c r="U216" s="336"/>
      <c r="V216" s="336"/>
      <c r="W216" s="336"/>
      <c r="X216" s="336"/>
      <c r="Y216" s="336"/>
      <c r="Z216" s="336"/>
      <c r="AA216" s="336"/>
      <c r="AB216" s="336"/>
      <c r="AC216" s="336"/>
      <c r="AD216" s="336"/>
      <c r="AE216" s="336"/>
      <c r="AF216" s="336"/>
      <c r="AG216" s="336"/>
      <c r="AH216" s="336"/>
      <c r="AI216" s="336"/>
    </row>
    <row r="217" spans="9:35">
      <c r="I217" s="336"/>
      <c r="J217" s="336"/>
      <c r="K217" s="336"/>
      <c r="L217" s="336"/>
      <c r="M217" s="336"/>
      <c r="N217" s="336"/>
      <c r="O217" s="336"/>
      <c r="P217" s="336"/>
      <c r="Q217" s="336"/>
      <c r="R217" s="336"/>
      <c r="S217" s="336"/>
      <c r="T217" s="336"/>
      <c r="U217" s="336"/>
      <c r="V217" s="336"/>
      <c r="W217" s="336"/>
      <c r="X217" s="336"/>
      <c r="Y217" s="336"/>
      <c r="Z217" s="336"/>
      <c r="AA217" s="336"/>
      <c r="AB217" s="336"/>
      <c r="AC217" s="336"/>
      <c r="AD217" s="336"/>
      <c r="AE217" s="336"/>
      <c r="AF217" s="336"/>
      <c r="AG217" s="336"/>
      <c r="AH217" s="336"/>
      <c r="AI217" s="336"/>
    </row>
    <row r="218" spans="9:35">
      <c r="I218" s="336"/>
      <c r="J218" s="336"/>
      <c r="K218" s="336"/>
      <c r="L218" s="336"/>
      <c r="M218" s="336"/>
      <c r="N218" s="336"/>
      <c r="O218" s="336"/>
      <c r="P218" s="336"/>
      <c r="Q218" s="336"/>
      <c r="R218" s="336"/>
      <c r="S218" s="336"/>
      <c r="T218" s="336"/>
      <c r="U218" s="336"/>
      <c r="V218" s="336"/>
      <c r="W218" s="336"/>
      <c r="X218" s="336"/>
      <c r="Y218" s="336"/>
      <c r="Z218" s="336"/>
      <c r="AA218" s="336"/>
      <c r="AB218" s="336"/>
      <c r="AC218" s="336"/>
      <c r="AD218" s="336"/>
      <c r="AE218" s="336"/>
      <c r="AF218" s="336"/>
      <c r="AG218" s="336"/>
      <c r="AH218" s="336"/>
      <c r="AI218" s="336"/>
    </row>
    <row r="219" spans="9:35">
      <c r="I219" s="336"/>
      <c r="J219" s="336"/>
      <c r="K219" s="336"/>
      <c r="L219" s="336"/>
      <c r="M219" s="336"/>
      <c r="N219" s="336"/>
      <c r="O219" s="336"/>
      <c r="P219" s="336"/>
      <c r="Q219" s="336"/>
      <c r="R219" s="336"/>
      <c r="S219" s="336"/>
      <c r="T219" s="336"/>
      <c r="U219" s="336"/>
      <c r="V219" s="336"/>
      <c r="W219" s="336"/>
      <c r="X219" s="336"/>
      <c r="Y219" s="336"/>
      <c r="Z219" s="336"/>
      <c r="AA219" s="336"/>
      <c r="AB219" s="336"/>
      <c r="AC219" s="336"/>
      <c r="AD219" s="336"/>
      <c r="AE219" s="336"/>
      <c r="AF219" s="336"/>
      <c r="AG219" s="336"/>
      <c r="AH219" s="336"/>
      <c r="AI219" s="336"/>
    </row>
    <row r="220" spans="9:35">
      <c r="I220" s="336"/>
      <c r="J220" s="336"/>
      <c r="K220" s="336"/>
      <c r="L220" s="336"/>
      <c r="M220" s="336"/>
      <c r="N220" s="336"/>
      <c r="O220" s="336"/>
      <c r="P220" s="336"/>
      <c r="Q220" s="336"/>
      <c r="R220" s="336"/>
      <c r="S220" s="336"/>
      <c r="T220" s="336"/>
      <c r="U220" s="336"/>
      <c r="V220" s="336"/>
      <c r="W220" s="336"/>
      <c r="X220" s="336"/>
      <c r="Y220" s="336"/>
      <c r="Z220" s="336"/>
      <c r="AA220" s="336"/>
      <c r="AB220" s="336"/>
      <c r="AC220" s="336"/>
      <c r="AD220" s="336"/>
      <c r="AE220" s="336"/>
      <c r="AF220" s="336"/>
      <c r="AG220" s="336"/>
      <c r="AH220" s="336"/>
      <c r="AI220" s="336"/>
    </row>
    <row r="221" spans="9:35">
      <c r="I221" s="336"/>
      <c r="J221" s="336"/>
      <c r="K221" s="336"/>
      <c r="L221" s="336"/>
      <c r="M221" s="336"/>
      <c r="N221" s="336"/>
      <c r="O221" s="336"/>
      <c r="P221" s="336"/>
      <c r="Q221" s="336"/>
      <c r="R221" s="336"/>
      <c r="S221" s="336"/>
      <c r="T221" s="336"/>
      <c r="U221" s="336"/>
      <c r="V221" s="336"/>
      <c r="W221" s="336"/>
      <c r="X221" s="336"/>
      <c r="Y221" s="336"/>
      <c r="Z221" s="336"/>
      <c r="AA221" s="336"/>
      <c r="AB221" s="336"/>
      <c r="AC221" s="336"/>
      <c r="AD221" s="336"/>
      <c r="AE221" s="336"/>
      <c r="AF221" s="336"/>
      <c r="AG221" s="336"/>
      <c r="AH221" s="336"/>
      <c r="AI221" s="336"/>
    </row>
    <row r="222" spans="9:35">
      <c r="I222" s="336"/>
      <c r="J222" s="336"/>
      <c r="K222" s="336"/>
      <c r="L222" s="336"/>
      <c r="M222" s="336"/>
      <c r="N222" s="336"/>
      <c r="O222" s="336"/>
      <c r="P222" s="336"/>
      <c r="Q222" s="336"/>
      <c r="R222" s="336"/>
      <c r="S222" s="336"/>
      <c r="T222" s="336"/>
      <c r="U222" s="336"/>
      <c r="V222" s="336"/>
      <c r="W222" s="336"/>
      <c r="X222" s="336"/>
      <c r="Y222" s="336"/>
      <c r="Z222" s="336"/>
      <c r="AA222" s="336"/>
      <c r="AB222" s="336"/>
      <c r="AC222" s="336"/>
      <c r="AD222" s="336"/>
      <c r="AE222" s="336"/>
      <c r="AF222" s="336"/>
      <c r="AG222" s="336"/>
      <c r="AH222" s="336"/>
      <c r="AI222" s="336"/>
    </row>
    <row r="223" spans="9:35">
      <c r="I223" s="336"/>
      <c r="J223" s="336"/>
      <c r="K223" s="336"/>
      <c r="L223" s="336"/>
      <c r="M223" s="336"/>
      <c r="N223" s="336"/>
      <c r="O223" s="336"/>
      <c r="P223" s="336"/>
      <c r="Q223" s="336"/>
      <c r="R223" s="336"/>
      <c r="S223" s="336"/>
      <c r="T223" s="336"/>
      <c r="U223" s="336"/>
      <c r="V223" s="336"/>
      <c r="W223" s="336"/>
      <c r="X223" s="336"/>
      <c r="Y223" s="336"/>
      <c r="Z223" s="336"/>
      <c r="AA223" s="336"/>
      <c r="AB223" s="336"/>
      <c r="AC223" s="336"/>
      <c r="AD223" s="336"/>
      <c r="AE223" s="336"/>
      <c r="AF223" s="336"/>
      <c r="AG223" s="336"/>
      <c r="AH223" s="336"/>
      <c r="AI223" s="336"/>
    </row>
    <row r="224" spans="9:35">
      <c r="I224" s="336"/>
      <c r="J224" s="336"/>
      <c r="K224" s="336"/>
      <c r="L224" s="336"/>
      <c r="M224" s="336"/>
      <c r="N224" s="336"/>
      <c r="O224" s="336"/>
      <c r="P224" s="336"/>
      <c r="Q224" s="336"/>
      <c r="R224" s="336"/>
      <c r="S224" s="336"/>
      <c r="T224" s="336"/>
      <c r="U224" s="336"/>
      <c r="V224" s="336"/>
      <c r="W224" s="336"/>
      <c r="X224" s="336"/>
      <c r="Y224" s="336"/>
      <c r="Z224" s="336"/>
      <c r="AA224" s="336"/>
      <c r="AB224" s="336"/>
      <c r="AC224" s="336"/>
      <c r="AD224" s="336"/>
      <c r="AE224" s="336"/>
      <c r="AF224" s="336"/>
      <c r="AG224" s="336"/>
      <c r="AH224" s="336"/>
      <c r="AI224" s="336"/>
    </row>
  </sheetData>
  <mergeCells count="5">
    <mergeCell ref="A1:G1"/>
    <mergeCell ref="I2:M2"/>
    <mergeCell ref="A3:B3"/>
    <mergeCell ref="D3:E3"/>
    <mergeCell ref="I3:M3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40"/>
  <sheetViews>
    <sheetView topLeftCell="A15" workbookViewId="0">
      <selection activeCell="B40" sqref="B40"/>
    </sheetView>
  </sheetViews>
  <sheetFormatPr defaultColWidth="7.58333333333333" defaultRowHeight="15" outlineLevelCol="3"/>
  <cols>
    <col min="1" max="1" width="8.25" style="263" customWidth="1"/>
    <col min="2" max="2" width="33.25" style="263" customWidth="1"/>
    <col min="3" max="3" width="8.25" style="263" customWidth="1"/>
    <col min="4" max="4" width="15.5" style="263" customWidth="1"/>
    <col min="5" max="16384" width="7.58333333333333" style="263"/>
  </cols>
  <sheetData>
    <row r="1" ht="27.75" customHeight="1" spans="1:4">
      <c r="A1" s="320" t="s">
        <v>281</v>
      </c>
      <c r="B1" s="321"/>
      <c r="C1" s="322"/>
      <c r="D1" s="323"/>
    </row>
    <row r="2" ht="13.5" customHeight="1" spans="1:4">
      <c r="A2" s="324" t="s">
        <v>2</v>
      </c>
      <c r="B2" s="324" t="s">
        <v>282</v>
      </c>
      <c r="C2" s="325" t="s">
        <v>283</v>
      </c>
      <c r="D2" s="324" t="s">
        <v>4</v>
      </c>
    </row>
    <row r="3" ht="13.5" customHeight="1" spans="1:4">
      <c r="A3" s="326" t="s">
        <v>284</v>
      </c>
      <c r="B3" s="324" t="s">
        <v>285</v>
      </c>
      <c r="C3" s="322"/>
      <c r="D3" s="321"/>
    </row>
    <row r="4" ht="13.5" customHeight="1" spans="1:4">
      <c r="A4" s="327">
        <v>1</v>
      </c>
      <c r="B4" s="328" t="s">
        <v>286</v>
      </c>
      <c r="C4" s="329" t="s">
        <v>287</v>
      </c>
      <c r="D4" s="330"/>
    </row>
    <row r="5" ht="13.5" customHeight="1" spans="1:4">
      <c r="A5" s="327">
        <v>2</v>
      </c>
      <c r="B5" s="328" t="s">
        <v>288</v>
      </c>
      <c r="C5" s="329" t="s">
        <v>289</v>
      </c>
      <c r="D5" s="330"/>
    </row>
    <row r="6" ht="13.5" customHeight="1" spans="1:4">
      <c r="A6" s="327">
        <v>3</v>
      </c>
      <c r="B6" s="328" t="s">
        <v>290</v>
      </c>
      <c r="C6" s="329" t="s">
        <v>291</v>
      </c>
      <c r="D6" s="330"/>
    </row>
    <row r="7" ht="13.5" customHeight="1" spans="1:4">
      <c r="A7" s="326" t="s">
        <v>292</v>
      </c>
      <c r="B7" s="324" t="s">
        <v>293</v>
      </c>
      <c r="C7" s="329"/>
      <c r="D7" s="330"/>
    </row>
    <row r="8" ht="13.5" customHeight="1" spans="1:4">
      <c r="A8" s="327">
        <v>1</v>
      </c>
      <c r="B8" s="328" t="s">
        <v>294</v>
      </c>
      <c r="C8" s="329" t="s">
        <v>295</v>
      </c>
      <c r="D8" s="330"/>
    </row>
    <row r="9" ht="13.5" customHeight="1" spans="1:4">
      <c r="A9" s="327">
        <v>2</v>
      </c>
      <c r="B9" s="328" t="s">
        <v>296</v>
      </c>
      <c r="C9" s="329" t="s">
        <v>295</v>
      </c>
      <c r="D9" s="330"/>
    </row>
    <row r="10" ht="13.5" customHeight="1" spans="1:4">
      <c r="A10" s="327">
        <v>3</v>
      </c>
      <c r="B10" s="328" t="s">
        <v>297</v>
      </c>
      <c r="C10" s="329" t="s">
        <v>298</v>
      </c>
      <c r="D10" s="330"/>
    </row>
    <row r="11" ht="13.5" customHeight="1" spans="1:4">
      <c r="A11" s="327">
        <v>4</v>
      </c>
      <c r="B11" s="328" t="s">
        <v>299</v>
      </c>
      <c r="C11" s="329" t="s">
        <v>295</v>
      </c>
      <c r="D11" s="330"/>
    </row>
    <row r="12" ht="13.5" customHeight="1" spans="1:4">
      <c r="A12" s="327">
        <v>5</v>
      </c>
      <c r="B12" s="328" t="s">
        <v>300</v>
      </c>
      <c r="C12" s="329" t="s">
        <v>301</v>
      </c>
      <c r="D12" s="330"/>
    </row>
    <row r="13" ht="13.5" customHeight="1" spans="1:4">
      <c r="A13" s="326" t="s">
        <v>302</v>
      </c>
      <c r="B13" s="324" t="s">
        <v>303</v>
      </c>
      <c r="C13" s="331"/>
      <c r="D13" s="330"/>
    </row>
    <row r="14" ht="13.5" customHeight="1" spans="1:4">
      <c r="A14" s="327">
        <v>1</v>
      </c>
      <c r="B14" s="328" t="s">
        <v>304</v>
      </c>
      <c r="C14" s="329" t="s">
        <v>291</v>
      </c>
      <c r="D14" s="330"/>
    </row>
    <row r="15" ht="13.5" customHeight="1" spans="1:4">
      <c r="A15" s="327">
        <v>2</v>
      </c>
      <c r="B15" s="328" t="s">
        <v>305</v>
      </c>
      <c r="C15" s="329" t="s">
        <v>306</v>
      </c>
      <c r="D15" s="330"/>
    </row>
    <row r="16" ht="13.5" customHeight="1" spans="1:4">
      <c r="A16" s="327">
        <v>3</v>
      </c>
      <c r="B16" s="328" t="s">
        <v>307</v>
      </c>
      <c r="C16" s="329" t="s">
        <v>298</v>
      </c>
      <c r="D16" s="330"/>
    </row>
    <row r="17" ht="13.5" customHeight="1" spans="1:4">
      <c r="A17" s="327">
        <v>4</v>
      </c>
      <c r="B17" s="328" t="s">
        <v>308</v>
      </c>
      <c r="C17" s="329" t="s">
        <v>298</v>
      </c>
      <c r="D17" s="330"/>
    </row>
    <row r="18" ht="13.5" customHeight="1" spans="1:4">
      <c r="A18" s="327">
        <v>5</v>
      </c>
      <c r="B18" s="328" t="s">
        <v>309</v>
      </c>
      <c r="C18" s="329" t="s">
        <v>291</v>
      </c>
      <c r="D18" s="330"/>
    </row>
    <row r="19" ht="13.5" customHeight="1" spans="1:4">
      <c r="A19" s="327">
        <v>6</v>
      </c>
      <c r="B19" s="328" t="s">
        <v>310</v>
      </c>
      <c r="C19" s="329" t="s">
        <v>298</v>
      </c>
      <c r="D19" s="330"/>
    </row>
    <row r="20" ht="13.5" customHeight="1" spans="1:4">
      <c r="A20" s="327">
        <v>7</v>
      </c>
      <c r="B20" s="328" t="s">
        <v>311</v>
      </c>
      <c r="C20" s="329" t="s">
        <v>312</v>
      </c>
      <c r="D20" s="330"/>
    </row>
    <row r="21" ht="13.5" customHeight="1" spans="1:4">
      <c r="A21" s="327">
        <v>8</v>
      </c>
      <c r="B21" s="328" t="s">
        <v>313</v>
      </c>
      <c r="C21" s="329" t="s">
        <v>312</v>
      </c>
      <c r="D21" s="330"/>
    </row>
    <row r="22" ht="13.5" customHeight="1" spans="1:4">
      <c r="A22" s="327">
        <v>8.1</v>
      </c>
      <c r="B22" s="328" t="s">
        <v>314</v>
      </c>
      <c r="C22" s="329" t="s">
        <v>315</v>
      </c>
      <c r="D22" s="330"/>
    </row>
    <row r="23" ht="13.5" customHeight="1" spans="1:4">
      <c r="A23" s="327">
        <v>8.2</v>
      </c>
      <c r="B23" s="328" t="s">
        <v>316</v>
      </c>
      <c r="C23" s="329" t="s">
        <v>295</v>
      </c>
      <c r="D23" s="330"/>
    </row>
    <row r="24" ht="13.5" customHeight="1" spans="1:4">
      <c r="A24" s="327">
        <v>8.3</v>
      </c>
      <c r="B24" s="328" t="s">
        <v>317</v>
      </c>
      <c r="C24" s="329" t="s">
        <v>298</v>
      </c>
      <c r="D24" s="330"/>
    </row>
    <row r="25" ht="13.5" customHeight="1" spans="1:4">
      <c r="A25" s="327">
        <v>9</v>
      </c>
      <c r="B25" s="328" t="s">
        <v>318</v>
      </c>
      <c r="C25" s="329" t="s">
        <v>298</v>
      </c>
      <c r="D25" s="330"/>
    </row>
    <row r="26" ht="13.5" customHeight="1" spans="1:4">
      <c r="A26" s="327">
        <v>10</v>
      </c>
      <c r="B26" s="328" t="s">
        <v>319</v>
      </c>
      <c r="C26" s="329" t="s">
        <v>320</v>
      </c>
      <c r="D26" s="330"/>
    </row>
    <row r="27" ht="13.5" customHeight="1" spans="1:4">
      <c r="A27" s="327">
        <v>11</v>
      </c>
      <c r="B27" s="328" t="s">
        <v>321</v>
      </c>
      <c r="C27" s="329"/>
      <c r="D27" s="330"/>
    </row>
    <row r="28" ht="13.5" customHeight="1" spans="1:4">
      <c r="A28" s="327">
        <v>11.1</v>
      </c>
      <c r="B28" s="328" t="s">
        <v>322</v>
      </c>
      <c r="C28" s="329" t="s">
        <v>312</v>
      </c>
      <c r="D28" s="330"/>
    </row>
    <row r="29" ht="13.5" customHeight="1" spans="1:4">
      <c r="A29" s="327">
        <v>11.2</v>
      </c>
      <c r="B29" s="328" t="s">
        <v>323</v>
      </c>
      <c r="C29" s="329" t="s">
        <v>312</v>
      </c>
      <c r="D29" s="330"/>
    </row>
    <row r="30" ht="13.5" customHeight="1" spans="1:4">
      <c r="A30" s="327">
        <v>11.3</v>
      </c>
      <c r="B30" s="328" t="s">
        <v>324</v>
      </c>
      <c r="C30" s="329" t="s">
        <v>312</v>
      </c>
      <c r="D30" s="330"/>
    </row>
    <row r="31" ht="13.5" customHeight="1" spans="1:4">
      <c r="A31" s="326" t="s">
        <v>325</v>
      </c>
      <c r="B31" s="324" t="s">
        <v>326</v>
      </c>
      <c r="C31" s="329"/>
      <c r="D31" s="330"/>
    </row>
    <row r="32" ht="13.5" customHeight="1" spans="1:4">
      <c r="A32" s="327">
        <v>1</v>
      </c>
      <c r="B32" s="328" t="s">
        <v>327</v>
      </c>
      <c r="C32" s="329" t="s">
        <v>328</v>
      </c>
      <c r="D32" s="330"/>
    </row>
    <row r="33" ht="13.5" customHeight="1" spans="1:4">
      <c r="A33" s="327">
        <v>2</v>
      </c>
      <c r="B33" s="328" t="s">
        <v>329</v>
      </c>
      <c r="C33" s="329" t="s">
        <v>330</v>
      </c>
      <c r="D33" s="330"/>
    </row>
    <row r="34" ht="13.5" customHeight="1" spans="1:4">
      <c r="A34" s="327">
        <v>3</v>
      </c>
      <c r="B34" s="328" t="s">
        <v>331</v>
      </c>
      <c r="C34" s="329" t="s">
        <v>298</v>
      </c>
      <c r="D34" s="330"/>
    </row>
    <row r="35" ht="13.5" customHeight="1" spans="1:4">
      <c r="A35" s="327">
        <v>4</v>
      </c>
      <c r="B35" s="328" t="s">
        <v>332</v>
      </c>
      <c r="C35" s="329" t="s">
        <v>298</v>
      </c>
      <c r="D35" s="330"/>
    </row>
    <row r="36" ht="13.5" customHeight="1" spans="1:4">
      <c r="A36" s="327">
        <v>5</v>
      </c>
      <c r="B36" s="328" t="s">
        <v>333</v>
      </c>
      <c r="C36" s="329" t="s">
        <v>298</v>
      </c>
      <c r="D36" s="330"/>
    </row>
    <row r="37" ht="13.5" customHeight="1" spans="1:4">
      <c r="A37" s="327">
        <v>6</v>
      </c>
      <c r="B37" s="328" t="s">
        <v>334</v>
      </c>
      <c r="C37" s="329" t="s">
        <v>298</v>
      </c>
      <c r="D37" s="330"/>
    </row>
    <row r="38" ht="13.5" customHeight="1" spans="1:4">
      <c r="A38" s="327">
        <v>7</v>
      </c>
      <c r="B38" s="328" t="s">
        <v>335</v>
      </c>
      <c r="C38" s="329" t="s">
        <v>306</v>
      </c>
      <c r="D38" s="330"/>
    </row>
    <row r="39" ht="13.5" customHeight="1" spans="1:4">
      <c r="A39" s="327">
        <v>8</v>
      </c>
      <c r="B39" s="328" t="s">
        <v>336</v>
      </c>
      <c r="C39" s="329" t="s">
        <v>306</v>
      </c>
      <c r="D39" s="330"/>
    </row>
    <row r="40" ht="13.5" customHeight="1" spans="1:4">
      <c r="A40" s="327">
        <v>9</v>
      </c>
      <c r="B40" s="328" t="s">
        <v>337</v>
      </c>
      <c r="C40" s="329" t="s">
        <v>295</v>
      </c>
      <c r="D40" s="330"/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7"/>
  <sheetViews>
    <sheetView zoomScale="90" zoomScaleNormal="90" workbookViewId="0">
      <selection activeCell="F54" sqref="F54"/>
    </sheetView>
  </sheetViews>
  <sheetFormatPr defaultColWidth="8.8" defaultRowHeight="15"/>
  <cols>
    <col min="1" max="1" width="7.5" customWidth="1"/>
    <col min="2" max="2" width="21" customWidth="1"/>
    <col min="3" max="3" width="8.9" customWidth="1"/>
    <col min="4" max="4" width="15" customWidth="1"/>
    <col min="5" max="5" width="18.9" style="293" customWidth="1"/>
    <col min="6" max="6" width="31.4" customWidth="1"/>
    <col min="7" max="7" width="12.8"/>
  </cols>
  <sheetData>
    <row r="1" ht="51" customHeight="1" spans="1:6">
      <c r="A1" s="294" t="s">
        <v>2</v>
      </c>
      <c r="B1" s="294" t="s">
        <v>338</v>
      </c>
      <c r="C1" s="294" t="s">
        <v>283</v>
      </c>
      <c r="D1" s="294" t="s">
        <v>339</v>
      </c>
      <c r="E1" s="294" t="s">
        <v>340</v>
      </c>
      <c r="F1" s="294" t="s">
        <v>5</v>
      </c>
    </row>
    <row r="2" spans="1:6">
      <c r="A2" s="295">
        <v>1</v>
      </c>
      <c r="B2" s="295" t="s">
        <v>112</v>
      </c>
      <c r="C2" s="295"/>
      <c r="D2" s="296">
        <f>E2/20000</f>
        <v>0.555</v>
      </c>
      <c r="E2" s="297">
        <f>SUM(E3:E5)</f>
        <v>11100</v>
      </c>
      <c r="F2" s="298" t="s">
        <v>341</v>
      </c>
    </row>
    <row r="3" spans="1:6">
      <c r="A3" s="299">
        <v>1.1</v>
      </c>
      <c r="B3" s="299" t="s">
        <v>202</v>
      </c>
      <c r="C3" s="299" t="s">
        <v>342</v>
      </c>
      <c r="D3" s="300">
        <v>0.45</v>
      </c>
      <c r="E3" s="301">
        <f>D3*20000</f>
        <v>9000</v>
      </c>
      <c r="F3" s="302" t="s">
        <v>343</v>
      </c>
    </row>
    <row r="4" spans="1:6">
      <c r="A4" s="299">
        <v>1.2</v>
      </c>
      <c r="B4" s="299" t="s">
        <v>344</v>
      </c>
      <c r="C4" s="299" t="s">
        <v>342</v>
      </c>
      <c r="D4" s="300">
        <f t="shared" ref="D4:D13" si="0">E4/20000</f>
        <v>0.09</v>
      </c>
      <c r="E4" s="299">
        <v>1800</v>
      </c>
      <c r="F4" s="302"/>
    </row>
    <row r="5" spans="1:6">
      <c r="A5" s="299">
        <v>1.3</v>
      </c>
      <c r="B5" s="299" t="s">
        <v>345</v>
      </c>
      <c r="C5" s="299" t="s">
        <v>342</v>
      </c>
      <c r="D5" s="300">
        <f t="shared" si="0"/>
        <v>0.015</v>
      </c>
      <c r="E5" s="301">
        <v>300</v>
      </c>
      <c r="F5" s="302" t="s">
        <v>346</v>
      </c>
    </row>
    <row r="6" spans="1:6">
      <c r="A6" s="295">
        <v>2</v>
      </c>
      <c r="B6" s="295" t="s">
        <v>347</v>
      </c>
      <c r="C6" s="295" t="s">
        <v>342</v>
      </c>
      <c r="D6" s="296">
        <f t="shared" si="0"/>
        <v>0.123</v>
      </c>
      <c r="E6" s="297">
        <f>SUM(E7:E11)</f>
        <v>2460</v>
      </c>
      <c r="F6" s="298" t="s">
        <v>348</v>
      </c>
    </row>
    <row r="7" ht="26" spans="1:6">
      <c r="A7" s="299">
        <v>2.1</v>
      </c>
      <c r="B7" s="299" t="s">
        <v>349</v>
      </c>
      <c r="C7" s="299" t="s">
        <v>342</v>
      </c>
      <c r="D7" s="300">
        <f t="shared" si="0"/>
        <v>0.06</v>
      </c>
      <c r="E7" s="301">
        <v>1200</v>
      </c>
      <c r="F7" s="302"/>
    </row>
    <row r="8" ht="23" customHeight="1" spans="1:6">
      <c r="A8" s="299">
        <v>2.2</v>
      </c>
      <c r="B8" s="299" t="s">
        <v>350</v>
      </c>
      <c r="C8" s="299" t="s">
        <v>342</v>
      </c>
      <c r="D8" s="300">
        <f t="shared" si="0"/>
        <v>0.015</v>
      </c>
      <c r="E8" s="301">
        <v>300</v>
      </c>
      <c r="F8" s="302" t="s">
        <v>351</v>
      </c>
    </row>
    <row r="9" ht="24" customHeight="1" spans="1:6">
      <c r="A9" s="299">
        <v>2.3</v>
      </c>
      <c r="B9" s="299" t="s">
        <v>352</v>
      </c>
      <c r="C9" s="299" t="s">
        <v>342</v>
      </c>
      <c r="D9" s="300">
        <f t="shared" si="0"/>
        <v>0.03</v>
      </c>
      <c r="E9" s="301">
        <v>600</v>
      </c>
      <c r="F9" s="302"/>
    </row>
    <row r="10" ht="28" customHeight="1" spans="1:6">
      <c r="A10" s="299">
        <v>2.4</v>
      </c>
      <c r="B10" s="299" t="s">
        <v>353</v>
      </c>
      <c r="C10" s="299" t="s">
        <v>342</v>
      </c>
      <c r="D10" s="300">
        <f t="shared" si="0"/>
        <v>0.01</v>
      </c>
      <c r="E10" s="301">
        <v>200</v>
      </c>
      <c r="F10" s="302"/>
    </row>
    <row r="11" ht="30" customHeight="1" spans="1:6">
      <c r="A11" s="299">
        <v>2.6</v>
      </c>
      <c r="B11" s="299" t="s">
        <v>354</v>
      </c>
      <c r="C11" s="299" t="s">
        <v>342</v>
      </c>
      <c r="D11" s="300">
        <f t="shared" si="0"/>
        <v>0.008</v>
      </c>
      <c r="E11" s="301">
        <v>160</v>
      </c>
      <c r="F11" s="302" t="s">
        <v>355</v>
      </c>
    </row>
    <row r="12" spans="1:6">
      <c r="A12" s="295">
        <v>3</v>
      </c>
      <c r="B12" s="295" t="s">
        <v>356</v>
      </c>
      <c r="C12" s="295"/>
      <c r="D12" s="296">
        <f t="shared" si="0"/>
        <v>0.02885</v>
      </c>
      <c r="E12" s="297">
        <f>SUM(E13,E24,E34)</f>
        <v>577</v>
      </c>
      <c r="F12" s="303"/>
    </row>
    <row r="13" ht="28" spans="1:6">
      <c r="A13" s="304">
        <v>3.1</v>
      </c>
      <c r="B13" s="304" t="s">
        <v>357</v>
      </c>
      <c r="C13" s="299" t="s">
        <v>342</v>
      </c>
      <c r="D13" s="300">
        <f t="shared" si="0"/>
        <v>0.01325</v>
      </c>
      <c r="E13" s="305">
        <f>SUM(E14:E23)</f>
        <v>265</v>
      </c>
      <c r="F13" s="306" t="s">
        <v>358</v>
      </c>
    </row>
    <row r="14" spans="1:6">
      <c r="A14" s="299" t="s">
        <v>359</v>
      </c>
      <c r="B14" s="307" t="s">
        <v>360</v>
      </c>
      <c r="C14" s="299" t="s">
        <v>342</v>
      </c>
      <c r="D14" s="300">
        <f t="shared" ref="D14:D39" si="1">E14/20000</f>
        <v>0.00115</v>
      </c>
      <c r="E14" s="301">
        <v>23</v>
      </c>
      <c r="F14" s="308"/>
    </row>
    <row r="15" spans="1:6">
      <c r="A15" s="299" t="s">
        <v>361</v>
      </c>
      <c r="B15" s="299" t="s">
        <v>362</v>
      </c>
      <c r="C15" s="299" t="s">
        <v>342</v>
      </c>
      <c r="D15" s="300">
        <f t="shared" si="1"/>
        <v>0.00075</v>
      </c>
      <c r="E15" s="299">
        <v>15</v>
      </c>
      <c r="F15" s="308"/>
    </row>
    <row r="16" spans="1:6">
      <c r="A16" s="299" t="s">
        <v>363</v>
      </c>
      <c r="B16" s="299" t="s">
        <v>364</v>
      </c>
      <c r="C16" s="299" t="s">
        <v>342</v>
      </c>
      <c r="D16" s="300">
        <f t="shared" si="1"/>
        <v>0.00075</v>
      </c>
      <c r="E16" s="299">
        <v>15</v>
      </c>
      <c r="F16" s="308"/>
    </row>
    <row r="17" spans="1:6">
      <c r="A17" s="299" t="s">
        <v>365</v>
      </c>
      <c r="B17" s="299" t="s">
        <v>366</v>
      </c>
      <c r="C17" s="299" t="s">
        <v>342</v>
      </c>
      <c r="D17" s="300">
        <f t="shared" si="1"/>
        <v>0.000625</v>
      </c>
      <c r="E17" s="299">
        <v>12.5</v>
      </c>
      <c r="F17" s="308"/>
    </row>
    <row r="18" spans="1:6">
      <c r="A18" s="299" t="s">
        <v>367</v>
      </c>
      <c r="B18" s="299" t="s">
        <v>368</v>
      </c>
      <c r="C18" s="299" t="s">
        <v>342</v>
      </c>
      <c r="D18" s="300">
        <f t="shared" si="1"/>
        <v>0.000575</v>
      </c>
      <c r="E18" s="299">
        <v>11.5</v>
      </c>
      <c r="F18" s="308"/>
    </row>
    <row r="19" spans="1:6">
      <c r="A19" s="299" t="s">
        <v>369</v>
      </c>
      <c r="B19" s="299" t="s">
        <v>370</v>
      </c>
      <c r="C19" s="299" t="s">
        <v>342</v>
      </c>
      <c r="D19" s="300">
        <f t="shared" si="1"/>
        <v>0.0014</v>
      </c>
      <c r="E19" s="299">
        <v>28</v>
      </c>
      <c r="F19" s="308"/>
    </row>
    <row r="20" ht="26" spans="1:6">
      <c r="A20" s="299" t="s">
        <v>371</v>
      </c>
      <c r="B20" s="299" t="s">
        <v>372</v>
      </c>
      <c r="C20" s="299" t="s">
        <v>342</v>
      </c>
      <c r="D20" s="300">
        <f t="shared" si="1"/>
        <v>0.00075</v>
      </c>
      <c r="E20" s="299">
        <v>15</v>
      </c>
      <c r="F20" s="308"/>
    </row>
    <row r="21" spans="1:6">
      <c r="A21" s="299" t="s">
        <v>373</v>
      </c>
      <c r="B21" s="299" t="s">
        <v>374</v>
      </c>
      <c r="C21" s="299" t="s">
        <v>342</v>
      </c>
      <c r="D21" s="300">
        <f t="shared" si="1"/>
        <v>0.0005</v>
      </c>
      <c r="E21" s="299">
        <v>10</v>
      </c>
      <c r="F21" s="308"/>
    </row>
    <row r="22" ht="26" spans="1:6">
      <c r="A22" s="299" t="s">
        <v>375</v>
      </c>
      <c r="B22" s="299" t="s">
        <v>376</v>
      </c>
      <c r="C22" s="299" t="s">
        <v>342</v>
      </c>
      <c r="D22" s="300">
        <f t="shared" si="1"/>
        <v>0.002</v>
      </c>
      <c r="E22" s="299">
        <v>40</v>
      </c>
      <c r="F22" s="308"/>
    </row>
    <row r="23" spans="1:6">
      <c r="A23" s="299" t="s">
        <v>377</v>
      </c>
      <c r="B23" s="299" t="s">
        <v>378</v>
      </c>
      <c r="C23" s="299" t="s">
        <v>342</v>
      </c>
      <c r="D23" s="300">
        <f t="shared" si="1"/>
        <v>0.00475</v>
      </c>
      <c r="E23" s="299">
        <v>95</v>
      </c>
      <c r="F23" s="306"/>
    </row>
    <row r="24" ht="28" spans="1:6">
      <c r="A24" s="304">
        <v>3.2</v>
      </c>
      <c r="B24" s="304" t="s">
        <v>379</v>
      </c>
      <c r="C24" s="299" t="s">
        <v>342</v>
      </c>
      <c r="D24" s="300">
        <f t="shared" si="1"/>
        <v>0.0066</v>
      </c>
      <c r="E24" s="305">
        <f>SUM(E25:E33)</f>
        <v>132</v>
      </c>
      <c r="F24" s="306" t="s">
        <v>358</v>
      </c>
    </row>
    <row r="25" spans="1:6">
      <c r="A25" s="299" t="s">
        <v>380</v>
      </c>
      <c r="B25" s="299" t="s">
        <v>381</v>
      </c>
      <c r="C25" s="299" t="s">
        <v>342</v>
      </c>
      <c r="D25" s="300">
        <f t="shared" si="1"/>
        <v>0.0003</v>
      </c>
      <c r="E25" s="299">
        <v>6</v>
      </c>
      <c r="F25" s="306"/>
    </row>
    <row r="26" spans="1:6">
      <c r="A26" s="299" t="s">
        <v>382</v>
      </c>
      <c r="B26" s="299" t="s">
        <v>362</v>
      </c>
      <c r="C26" s="299" t="s">
        <v>342</v>
      </c>
      <c r="D26" s="300">
        <f t="shared" si="1"/>
        <v>0.00075</v>
      </c>
      <c r="E26" s="299">
        <v>15</v>
      </c>
      <c r="F26" s="306"/>
    </row>
    <row r="27" spans="1:6">
      <c r="A27" s="299" t="s">
        <v>383</v>
      </c>
      <c r="B27" s="299" t="s">
        <v>364</v>
      </c>
      <c r="C27" s="299" t="s">
        <v>342</v>
      </c>
      <c r="D27" s="300">
        <f t="shared" si="1"/>
        <v>0.00075</v>
      </c>
      <c r="E27" s="299">
        <v>15</v>
      </c>
      <c r="F27" s="306"/>
    </row>
    <row r="28" spans="1:6">
      <c r="A28" s="299" t="s">
        <v>384</v>
      </c>
      <c r="B28" s="299" t="s">
        <v>385</v>
      </c>
      <c r="C28" s="299" t="s">
        <v>342</v>
      </c>
      <c r="D28" s="300">
        <f t="shared" si="1"/>
        <v>0.0009</v>
      </c>
      <c r="E28" s="299">
        <v>18</v>
      </c>
      <c r="F28" s="306"/>
    </row>
    <row r="29" spans="1:6">
      <c r="A29" s="299" t="s">
        <v>386</v>
      </c>
      <c r="B29" s="299" t="s">
        <v>366</v>
      </c>
      <c r="C29" s="299" t="s">
        <v>342</v>
      </c>
      <c r="D29" s="300">
        <f t="shared" si="1"/>
        <v>0.00075</v>
      </c>
      <c r="E29" s="299">
        <v>15</v>
      </c>
      <c r="F29" s="306"/>
    </row>
    <row r="30" spans="1:6">
      <c r="A30" s="299" t="s">
        <v>387</v>
      </c>
      <c r="B30" s="299" t="s">
        <v>388</v>
      </c>
      <c r="C30" s="299" t="s">
        <v>342</v>
      </c>
      <c r="D30" s="300">
        <f t="shared" si="1"/>
        <v>0.00055</v>
      </c>
      <c r="E30" s="299">
        <v>11</v>
      </c>
      <c r="F30" s="306"/>
    </row>
    <row r="31" spans="1:6">
      <c r="A31" s="299" t="s">
        <v>389</v>
      </c>
      <c r="B31" s="299" t="s">
        <v>390</v>
      </c>
      <c r="C31" s="299" t="s">
        <v>342</v>
      </c>
      <c r="D31" s="300">
        <f t="shared" si="1"/>
        <v>0.0005</v>
      </c>
      <c r="E31" s="299">
        <v>10</v>
      </c>
      <c r="F31" s="306"/>
    </row>
    <row r="32" ht="26" spans="1:6">
      <c r="A32" s="299" t="s">
        <v>391</v>
      </c>
      <c r="B32" s="299" t="s">
        <v>392</v>
      </c>
      <c r="C32" s="299" t="s">
        <v>342</v>
      </c>
      <c r="D32" s="300">
        <f t="shared" si="1"/>
        <v>0.0016</v>
      </c>
      <c r="E32" s="299">
        <v>32</v>
      </c>
      <c r="F32" s="306"/>
    </row>
    <row r="33" spans="1:6">
      <c r="A33" s="299" t="s">
        <v>393</v>
      </c>
      <c r="B33" s="299" t="s">
        <v>394</v>
      </c>
      <c r="C33" s="299" t="s">
        <v>342</v>
      </c>
      <c r="D33" s="300">
        <f t="shared" si="1"/>
        <v>0.0005</v>
      </c>
      <c r="E33" s="299">
        <v>10</v>
      </c>
      <c r="F33" s="306"/>
    </row>
    <row r="34" ht="42" spans="1:6">
      <c r="A34" s="304">
        <v>3.3</v>
      </c>
      <c r="B34" s="304" t="s">
        <v>395</v>
      </c>
      <c r="C34" s="304" t="s">
        <v>342</v>
      </c>
      <c r="D34" s="309">
        <f t="shared" si="1"/>
        <v>0.009</v>
      </c>
      <c r="E34" s="305">
        <f>SUM(E35:E37)</f>
        <v>180</v>
      </c>
      <c r="F34" s="310" t="s">
        <v>396</v>
      </c>
    </row>
    <row r="35" spans="1:6">
      <c r="A35" s="299" t="s">
        <v>397</v>
      </c>
      <c r="B35" s="299" t="s">
        <v>398</v>
      </c>
      <c r="C35" s="299" t="s">
        <v>342</v>
      </c>
      <c r="D35" s="300">
        <f t="shared" si="1"/>
        <v>0.005</v>
      </c>
      <c r="E35" s="301">
        <v>100</v>
      </c>
      <c r="F35" s="306"/>
    </row>
    <row r="36" ht="26" spans="1:6">
      <c r="A36" s="299" t="s">
        <v>399</v>
      </c>
      <c r="B36" s="299" t="s">
        <v>400</v>
      </c>
      <c r="C36" s="299" t="s">
        <v>342</v>
      </c>
      <c r="D36" s="300">
        <f t="shared" si="1"/>
        <v>0.0025</v>
      </c>
      <c r="E36" s="301">
        <v>50</v>
      </c>
      <c r="F36" s="308"/>
    </row>
    <row r="37" spans="1:6">
      <c r="A37" s="299" t="s">
        <v>401</v>
      </c>
      <c r="B37" s="299" t="s">
        <v>402</v>
      </c>
      <c r="C37" s="299" t="s">
        <v>342</v>
      </c>
      <c r="D37" s="300">
        <f t="shared" si="1"/>
        <v>0.0015</v>
      </c>
      <c r="E37" s="301">
        <v>30</v>
      </c>
      <c r="F37" s="308" t="s">
        <v>403</v>
      </c>
    </row>
    <row r="38" ht="27" customHeight="1" spans="1:6">
      <c r="A38" s="295">
        <v>4</v>
      </c>
      <c r="B38" s="295" t="s">
        <v>404</v>
      </c>
      <c r="C38" s="295" t="s">
        <v>342</v>
      </c>
      <c r="D38" s="296">
        <f t="shared" si="1"/>
        <v>0.0196</v>
      </c>
      <c r="E38" s="297">
        <f>SUM(E39:E48)</f>
        <v>392</v>
      </c>
      <c r="F38" s="311" t="s">
        <v>405</v>
      </c>
    </row>
    <row r="39" spans="1:6">
      <c r="A39" s="299">
        <v>4.1</v>
      </c>
      <c r="B39" s="299" t="s">
        <v>406</v>
      </c>
      <c r="C39" s="299" t="s">
        <v>342</v>
      </c>
      <c r="D39" s="300">
        <f t="shared" si="1"/>
        <v>0.00075</v>
      </c>
      <c r="E39" s="301">
        <v>15</v>
      </c>
      <c r="F39" s="306" t="s">
        <v>407</v>
      </c>
    </row>
    <row r="40" ht="26" spans="1:6">
      <c r="A40" s="299">
        <v>4.2</v>
      </c>
      <c r="B40" s="299" t="s">
        <v>408</v>
      </c>
      <c r="C40" s="299" t="s">
        <v>342</v>
      </c>
      <c r="D40" s="300">
        <f t="shared" ref="D40:D50" si="2">E40/20000</f>
        <v>0.00075</v>
      </c>
      <c r="E40" s="301">
        <v>15</v>
      </c>
      <c r="F40" s="306"/>
    </row>
    <row r="41" spans="1:6">
      <c r="A41" s="299">
        <v>4.3</v>
      </c>
      <c r="B41" s="299" t="s">
        <v>409</v>
      </c>
      <c r="C41" s="299" t="s">
        <v>342</v>
      </c>
      <c r="D41" s="300">
        <f t="shared" si="2"/>
        <v>0.00075</v>
      </c>
      <c r="E41" s="301">
        <v>15</v>
      </c>
      <c r="F41" s="306"/>
    </row>
    <row r="42" ht="26" spans="1:6">
      <c r="A42" s="299">
        <v>4.4</v>
      </c>
      <c r="B42" s="312" t="s">
        <v>410</v>
      </c>
      <c r="C42" s="299" t="s">
        <v>342</v>
      </c>
      <c r="D42" s="300">
        <f t="shared" si="2"/>
        <v>0.00075</v>
      </c>
      <c r="E42" s="301">
        <v>15</v>
      </c>
      <c r="F42" s="306"/>
    </row>
    <row r="43" spans="1:6">
      <c r="A43" s="299">
        <v>4.5</v>
      </c>
      <c r="B43" s="312" t="s">
        <v>411</v>
      </c>
      <c r="C43" s="299" t="s">
        <v>342</v>
      </c>
      <c r="D43" s="300">
        <f t="shared" si="2"/>
        <v>0.00075</v>
      </c>
      <c r="E43" s="301">
        <v>15</v>
      </c>
      <c r="F43" s="306"/>
    </row>
    <row r="44" spans="1:6">
      <c r="A44" s="299">
        <v>4.6</v>
      </c>
      <c r="B44" s="312" t="s">
        <v>412</v>
      </c>
      <c r="C44" s="299" t="s">
        <v>342</v>
      </c>
      <c r="D44" s="300">
        <f t="shared" si="2"/>
        <v>0.0005</v>
      </c>
      <c r="E44" s="301">
        <v>10</v>
      </c>
      <c r="F44" s="306"/>
    </row>
    <row r="45" spans="1:6">
      <c r="A45" s="299">
        <v>4.7</v>
      </c>
      <c r="B45" s="312" t="s">
        <v>413</v>
      </c>
      <c r="C45" s="299" t="s">
        <v>342</v>
      </c>
      <c r="D45" s="300">
        <f t="shared" si="2"/>
        <v>0.01</v>
      </c>
      <c r="E45" s="301">
        <v>200</v>
      </c>
      <c r="F45" s="306"/>
    </row>
    <row r="46" ht="28" spans="1:6">
      <c r="A46" s="299">
        <v>4.8</v>
      </c>
      <c r="B46" s="312" t="s">
        <v>414</v>
      </c>
      <c r="C46" s="299" t="s">
        <v>342</v>
      </c>
      <c r="D46" s="300">
        <f t="shared" si="2"/>
        <v>0.004</v>
      </c>
      <c r="E46" s="301">
        <v>80</v>
      </c>
      <c r="F46" s="306" t="s">
        <v>415</v>
      </c>
    </row>
    <row r="47" spans="1:6">
      <c r="A47" s="313">
        <v>4.9</v>
      </c>
      <c r="B47" s="314" t="s">
        <v>416</v>
      </c>
      <c r="C47" s="299" t="s">
        <v>342</v>
      </c>
      <c r="D47" s="300">
        <f t="shared" si="2"/>
        <v>0.00025</v>
      </c>
      <c r="E47" s="315">
        <v>5</v>
      </c>
      <c r="F47" s="306"/>
    </row>
    <row r="48" spans="1:6">
      <c r="A48" s="316">
        <v>4.1</v>
      </c>
      <c r="B48" s="314" t="s">
        <v>417</v>
      </c>
      <c r="C48" s="299" t="s">
        <v>342</v>
      </c>
      <c r="D48" s="300">
        <f t="shared" si="2"/>
        <v>0.0011</v>
      </c>
      <c r="E48" s="315">
        <v>22</v>
      </c>
      <c r="F48" s="306"/>
    </row>
    <row r="49" ht="25" customHeight="1" spans="1:11">
      <c r="A49" s="295">
        <v>5</v>
      </c>
      <c r="B49" s="295" t="s">
        <v>418</v>
      </c>
      <c r="C49" s="295" t="s">
        <v>342</v>
      </c>
      <c r="D49" s="296">
        <f t="shared" si="2"/>
        <v>0.06586293</v>
      </c>
      <c r="E49" s="297">
        <f>SUM(E50:E56)</f>
        <v>1317.2586</v>
      </c>
      <c r="F49" s="317"/>
    </row>
    <row r="50" ht="28" customHeight="1" spans="1:11">
      <c r="A50" s="299">
        <v>5.1</v>
      </c>
      <c r="B50" s="299" t="s">
        <v>419</v>
      </c>
      <c r="C50" s="299" t="s">
        <v>342</v>
      </c>
      <c r="D50" s="300">
        <f t="shared" si="2"/>
        <v>0.042</v>
      </c>
      <c r="E50" s="301">
        <f>780+60</f>
        <v>840</v>
      </c>
      <c r="F50" s="306" t="s">
        <v>420</v>
      </c>
      <c r="H50" s="225"/>
      <c r="K50" s="229"/>
    </row>
    <row r="51" ht="27" customHeight="1" spans="1:11">
      <c r="A51" s="299">
        <v>5.2</v>
      </c>
      <c r="B51" s="299" t="s">
        <v>421</v>
      </c>
      <c r="C51" s="299" t="s">
        <v>342</v>
      </c>
      <c r="D51" s="300">
        <f t="shared" ref="D51:D57" si="3">E51/20000</f>
        <v>0.015</v>
      </c>
      <c r="E51" s="301">
        <v>300</v>
      </c>
      <c r="F51" s="306"/>
      <c r="K51" s="229"/>
    </row>
    <row r="52" ht="25" customHeight="1" spans="1:11">
      <c r="A52" s="299">
        <v>5.3</v>
      </c>
      <c r="B52" s="299" t="s">
        <v>422</v>
      </c>
      <c r="C52" s="299" t="s">
        <v>342</v>
      </c>
      <c r="D52" s="300">
        <f t="shared" si="3"/>
        <v>0.0025</v>
      </c>
      <c r="E52" s="301">
        <v>50</v>
      </c>
      <c r="F52" s="306"/>
    </row>
    <row r="53" ht="25" customHeight="1" spans="1:11">
      <c r="A53" s="299">
        <v>5.4</v>
      </c>
      <c r="B53" s="299" t="s">
        <v>423</v>
      </c>
      <c r="C53" s="299" t="s">
        <v>342</v>
      </c>
      <c r="D53" s="300">
        <f t="shared" si="3"/>
        <v>0.003</v>
      </c>
      <c r="E53" s="301">
        <v>60</v>
      </c>
      <c r="F53" s="306"/>
    </row>
    <row r="54" ht="25" customHeight="1" spans="1:11">
      <c r="A54" s="299">
        <v>5.5</v>
      </c>
      <c r="B54" s="299" t="s">
        <v>424</v>
      </c>
      <c r="C54" s="299" t="s">
        <v>342</v>
      </c>
      <c r="D54" s="300">
        <f t="shared" si="3"/>
        <v>0.0015</v>
      </c>
      <c r="E54" s="301">
        <v>30</v>
      </c>
      <c r="F54" s="306"/>
    </row>
    <row r="55" ht="24" customHeight="1" spans="1:11">
      <c r="A55" s="299">
        <v>5.6</v>
      </c>
      <c r="B55" s="299" t="s">
        <v>425</v>
      </c>
      <c r="C55" s="299" t="s">
        <v>342</v>
      </c>
      <c r="D55" s="300">
        <f t="shared" si="3"/>
        <v>0.00125</v>
      </c>
      <c r="E55" s="301">
        <v>25</v>
      </c>
      <c r="F55" s="306"/>
    </row>
    <row r="56" ht="30" customHeight="1" spans="1:11">
      <c r="A56" s="299">
        <v>5.7</v>
      </c>
      <c r="B56" s="299" t="s">
        <v>426</v>
      </c>
      <c r="C56" s="299" t="s">
        <v>342</v>
      </c>
      <c r="D56" s="300">
        <f t="shared" si="3"/>
        <v>0.00061293</v>
      </c>
      <c r="E56" s="301">
        <v>12.2586</v>
      </c>
      <c r="F56" s="306"/>
    </row>
    <row r="57" ht="25" customHeight="1" spans="1:11">
      <c r="A57" s="299"/>
      <c r="B57" s="304" t="s">
        <v>427</v>
      </c>
      <c r="C57" s="304" t="s">
        <v>342</v>
      </c>
      <c r="D57" s="318">
        <f t="shared" si="3"/>
        <v>0.79231293</v>
      </c>
      <c r="E57" s="318">
        <f>E49+E38+E12+E6+E2</f>
        <v>15846.2586</v>
      </c>
      <c r="F57" s="319"/>
    </row>
  </sheetData>
  <pageMargins left="0.75" right="0.75" top="1" bottom="1" header="0.5" footer="0.5"/>
  <pageSetup paperSize="9" scale="78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9" tint="0.599993896298105"/>
  </sheetPr>
  <dimension ref="A1:Z43"/>
  <sheetViews>
    <sheetView zoomScale="115" zoomScaleNormal="115" workbookViewId="0">
      <selection activeCell="E11" sqref="E11"/>
    </sheetView>
  </sheetViews>
  <sheetFormatPr defaultColWidth="7.58333333333333" defaultRowHeight="14.25" customHeight="1"/>
  <cols>
    <col min="1" max="1" width="7.58333333333333" style="263"/>
    <col min="2" max="2" width="14.3333333333333" style="263" customWidth="1"/>
    <col min="3" max="3" width="24.75" style="263" customWidth="1"/>
    <col min="4" max="4" width="14.3333333333333" style="263" customWidth="1"/>
    <col min="5" max="5" width="21.8333333333333" style="263" customWidth="1"/>
    <col min="6" max="7" width="7.58333333333333" style="263"/>
    <col min="8" max="8" width="7.58333333333333" style="263" customWidth="1"/>
    <col min="9" max="11" width="27.75" style="263" customWidth="1"/>
    <col min="12" max="16384" width="7.58333333333333" style="263"/>
  </cols>
  <sheetData>
    <row r="1" ht="37.15" customHeight="1" spans="1:26">
      <c r="A1" s="264"/>
      <c r="B1" s="265" t="s">
        <v>428</v>
      </c>
      <c r="C1" s="265"/>
      <c r="D1" s="265"/>
      <c r="E1" s="265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  <c r="Q1" s="264"/>
      <c r="R1" s="264"/>
      <c r="S1" s="264"/>
      <c r="T1" s="264"/>
      <c r="U1" s="264"/>
      <c r="V1" s="264"/>
      <c r="W1" s="264"/>
      <c r="X1" s="264"/>
      <c r="Y1" s="264"/>
      <c r="Z1" s="264"/>
    </row>
    <row r="2" ht="22.15" customHeight="1" spans="1:26">
      <c r="A2" s="264"/>
      <c r="B2" s="266" t="s">
        <v>2</v>
      </c>
      <c r="C2" s="267" t="s">
        <v>3</v>
      </c>
      <c r="D2" s="267" t="s">
        <v>283</v>
      </c>
      <c r="E2" s="268" t="s">
        <v>429</v>
      </c>
      <c r="F2" s="264"/>
      <c r="G2" s="264"/>
      <c r="H2" s="264"/>
      <c r="I2" s="269" t="s">
        <v>430</v>
      </c>
      <c r="J2" s="270">
        <f>IF(E11&gt;10000,ROUND(E11/10000,2),ROUND(E11,0))</f>
        <v>3175</v>
      </c>
      <c r="K2" s="269" t="str">
        <f>IF(E11&gt;10000,"亿元，","万元，")</f>
        <v>万元，</v>
      </c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</row>
    <row r="3" ht="22.15" customHeight="1" spans="1:26">
      <c r="A3" s="264"/>
      <c r="B3" s="271">
        <v>1</v>
      </c>
      <c r="C3" s="272" t="s">
        <v>286</v>
      </c>
      <c r="D3" s="273" t="s">
        <v>287</v>
      </c>
      <c r="E3" s="274">
        <f>输入参数!E17</f>
        <v>10</v>
      </c>
      <c r="F3" s="264"/>
      <c r="G3" s="264"/>
      <c r="H3" s="264"/>
      <c r="I3" s="269" t="s">
        <v>431</v>
      </c>
      <c r="J3" s="270">
        <f>IF(E13&gt;10000,ROUND(E13/10000,2),ROUND(E13,0))</f>
        <v>230</v>
      </c>
      <c r="K3" s="269" t="str">
        <f>IF(E13&gt;10000,"亿元，","万元，")</f>
        <v>万元，</v>
      </c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</row>
    <row r="4" ht="22.15" customHeight="1" spans="1:26">
      <c r="A4" s="264"/>
      <c r="B4" s="271">
        <v>2</v>
      </c>
      <c r="C4" s="272" t="s">
        <v>432</v>
      </c>
      <c r="D4" s="273" t="s">
        <v>433</v>
      </c>
      <c r="E4" s="274">
        <f>SUM('表2-利润与利润分配表'!F15:Q15)/12</f>
        <v>3717.20490437158</v>
      </c>
      <c r="F4" s="264"/>
      <c r="G4" s="264"/>
      <c r="H4" s="264"/>
      <c r="I4" s="269" t="s">
        <v>434</v>
      </c>
      <c r="J4" s="270">
        <f>IF(E15&gt;10000,ROUND(E15/10000,2),ROUND(E15,0))</f>
        <v>211</v>
      </c>
      <c r="K4" s="269" t="str">
        <f>IF(E15&gt;10000,"亿元，","万元，")</f>
        <v>万元，</v>
      </c>
      <c r="L4" s="264"/>
      <c r="M4" s="264"/>
      <c r="N4" s="264"/>
      <c r="O4" s="264"/>
      <c r="P4" s="264"/>
      <c r="Q4" s="264"/>
      <c r="R4" s="264"/>
      <c r="S4" s="264"/>
      <c r="T4" s="264"/>
      <c r="U4" s="264"/>
      <c r="V4" s="264"/>
      <c r="W4" s="264"/>
      <c r="X4" s="264"/>
      <c r="Y4" s="264"/>
      <c r="Z4" s="264"/>
    </row>
    <row r="5" ht="22.15" customHeight="1" spans="1:26">
      <c r="A5" s="264"/>
      <c r="B5" s="271">
        <v>2.1</v>
      </c>
      <c r="C5" s="272" t="s">
        <v>435</v>
      </c>
      <c r="D5" s="273" t="s">
        <v>436</v>
      </c>
      <c r="E5" s="274">
        <f>E4/E3</f>
        <v>371.720490437158</v>
      </c>
      <c r="F5" s="264"/>
      <c r="G5" s="264"/>
      <c r="H5" s="264"/>
      <c r="I5" s="269" t="s">
        <v>437</v>
      </c>
      <c r="J5" s="275">
        <f>ROUND(E17*100,2)</f>
        <v>6.38</v>
      </c>
      <c r="K5" s="269" t="s">
        <v>438</v>
      </c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</row>
    <row r="6" ht="22.15" customHeight="1" spans="1:26">
      <c r="A6" s="264"/>
      <c r="B6" s="271">
        <v>3</v>
      </c>
      <c r="C6" s="272" t="s">
        <v>439</v>
      </c>
      <c r="D6" s="273" t="s">
        <v>295</v>
      </c>
      <c r="E6" s="274">
        <f>'表1-投资计划与资金筹措表'!D6</f>
        <v>16036.4137032</v>
      </c>
      <c r="F6" s="264"/>
      <c r="G6" s="264"/>
      <c r="H6" s="264"/>
      <c r="I6" s="269" t="s">
        <v>440</v>
      </c>
      <c r="J6" s="275">
        <f>ROUND(E18*100,2)</f>
        <v>17.97</v>
      </c>
      <c r="K6" s="269" t="s">
        <v>438</v>
      </c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</row>
    <row r="7" ht="22.15" customHeight="1" spans="1:26">
      <c r="A7" s="264"/>
      <c r="B7" s="271">
        <v>3.1</v>
      </c>
      <c r="C7" s="272" t="s">
        <v>441</v>
      </c>
      <c r="D7" s="273" t="s">
        <v>295</v>
      </c>
      <c r="E7" s="274">
        <f>'表2-利润与利润分配表'!D46</f>
        <v>14593.136469912</v>
      </c>
      <c r="F7" s="264"/>
      <c r="G7" s="264"/>
      <c r="H7" s="264"/>
      <c r="I7" s="269" t="s">
        <v>442</v>
      </c>
      <c r="J7" s="270">
        <f>ROUND(E19,2)</f>
        <v>9.2</v>
      </c>
      <c r="K7" s="269" t="s">
        <v>443</v>
      </c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</row>
    <row r="8" ht="22.15" customHeight="1" spans="1:26">
      <c r="A8" s="264"/>
      <c r="B8" s="271">
        <v>3.2</v>
      </c>
      <c r="C8" s="272" t="s">
        <v>444</v>
      </c>
      <c r="D8" s="273" t="s">
        <v>295</v>
      </c>
      <c r="E8" s="274">
        <f>'表1-投资计划与资金筹措表'!E8</f>
        <v>190.1551032</v>
      </c>
      <c r="F8" s="264"/>
      <c r="G8" s="264"/>
      <c r="H8" s="264"/>
      <c r="I8" s="269" t="s">
        <v>445</v>
      </c>
      <c r="J8" s="269" t="str">
        <f>IF(E18&gt;6%,"较好","较差")</f>
        <v>较好</v>
      </c>
      <c r="K8" s="269" t="s">
        <v>446</v>
      </c>
      <c r="L8" s="264"/>
      <c r="M8" s="264"/>
      <c r="N8" s="264"/>
      <c r="O8" s="264"/>
      <c r="P8" s="264"/>
      <c r="Q8" s="264"/>
      <c r="R8" s="264"/>
      <c r="S8" s="264"/>
      <c r="T8" s="264" t="s">
        <v>30</v>
      </c>
      <c r="U8" s="264"/>
      <c r="V8" s="264"/>
      <c r="W8" s="264"/>
      <c r="X8" s="264"/>
      <c r="Y8" s="264"/>
      <c r="Z8" s="264"/>
    </row>
    <row r="9" ht="22.15" customHeight="1" spans="1:26">
      <c r="A9" s="264"/>
      <c r="B9" s="271">
        <v>4</v>
      </c>
      <c r="C9" s="272" t="s">
        <v>447</v>
      </c>
      <c r="D9" s="273" t="s">
        <v>448</v>
      </c>
      <c r="E9" s="276">
        <f>输入参数!E13</f>
        <v>0.5868</v>
      </c>
      <c r="F9" s="264"/>
      <c r="G9" s="264"/>
      <c r="H9" s="264"/>
      <c r="I9" s="269" t="str">
        <f>IF(E18&gt;=7%,"满足","")</f>
        <v>满足</v>
      </c>
      <c r="J9" s="269" t="str">
        <f>IF(E18&gt;=9%,"优先投资",IF(E18&gt;=6%,"允许投资。","不满足投资收益率标准要求。"))</f>
        <v>优先投资</v>
      </c>
      <c r="K9" s="269" t="str">
        <f>IF(E18&gt;=7%,"收益率标准。","")</f>
        <v>收益率标准。</v>
      </c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</row>
    <row r="10" ht="22.15" customHeight="1" spans="1:26">
      <c r="A10" s="264"/>
      <c r="B10" s="271">
        <v>5</v>
      </c>
      <c r="C10" s="272" t="s">
        <v>449</v>
      </c>
      <c r="D10" s="273" t="s">
        <v>295</v>
      </c>
      <c r="E10" s="274">
        <f>'表2-利润与利润分配表'!D25</f>
        <v>38101.831906746</v>
      </c>
      <c r="F10" s="264"/>
      <c r="G10" s="264"/>
      <c r="H10" s="264"/>
      <c r="I10" s="269"/>
      <c r="J10" s="269"/>
      <c r="K10" s="269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</row>
    <row r="11" ht="22.15" customHeight="1" spans="1:26">
      <c r="A11" s="264"/>
      <c r="B11" s="271">
        <v>5.1</v>
      </c>
      <c r="C11" s="272" t="s">
        <v>450</v>
      </c>
      <c r="D11" s="273" t="s">
        <v>295</v>
      </c>
      <c r="E11" s="274">
        <f>E10/12</f>
        <v>3175.1526588955</v>
      </c>
      <c r="F11" s="264"/>
      <c r="G11" s="264"/>
      <c r="H11" s="264"/>
      <c r="I11" s="269"/>
      <c r="J11" s="269"/>
      <c r="K11" s="269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  <c r="X11" s="264"/>
      <c r="Y11" s="264"/>
      <c r="Z11" s="264"/>
    </row>
    <row r="12" ht="22.15" customHeight="1" spans="1:26">
      <c r="A12" s="264"/>
      <c r="B12" s="271">
        <v>6</v>
      </c>
      <c r="C12" s="272" t="s">
        <v>451</v>
      </c>
      <c r="D12" s="273" t="s">
        <v>295</v>
      </c>
      <c r="E12" s="274">
        <f>'表2-利润与利润分配表'!D34</f>
        <v>2760.75900997632</v>
      </c>
      <c r="F12" s="264"/>
      <c r="G12" s="264"/>
      <c r="H12" s="264"/>
      <c r="I12" s="269"/>
      <c r="J12" s="269"/>
      <c r="K12" s="269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  <c r="X12" s="264"/>
      <c r="Y12" s="264"/>
      <c r="Z12" s="264"/>
    </row>
    <row r="13" ht="22.15" customHeight="1" spans="1:26">
      <c r="A13" s="264"/>
      <c r="B13" s="271">
        <v>6.1</v>
      </c>
      <c r="C13" s="272" t="s">
        <v>431</v>
      </c>
      <c r="D13" s="273" t="s">
        <v>295</v>
      </c>
      <c r="E13" s="274">
        <f>E12/12</f>
        <v>230.06325083136</v>
      </c>
      <c r="F13" s="264"/>
      <c r="G13" s="264"/>
      <c r="H13" s="264"/>
      <c r="I13" s="269"/>
      <c r="J13" s="269"/>
      <c r="K13" s="269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</row>
    <row r="14" ht="22.15" customHeight="1" spans="1:26">
      <c r="A14" s="264"/>
      <c r="B14" s="271">
        <v>7</v>
      </c>
      <c r="C14" s="272" t="s">
        <v>452</v>
      </c>
      <c r="D14" s="273" t="s">
        <v>295</v>
      </c>
      <c r="E14" s="274">
        <f>'表2-利润与利润分配表'!D38</f>
        <v>2532.84353646245</v>
      </c>
      <c r="F14" s="264"/>
      <c r="G14" s="264"/>
      <c r="H14" s="264"/>
      <c r="I14" s="269"/>
      <c r="J14" s="269"/>
      <c r="K14" s="269"/>
      <c r="L14" s="264"/>
      <c r="M14" s="264"/>
      <c r="N14" s="264"/>
      <c r="O14" s="264"/>
      <c r="P14" s="264"/>
      <c r="Q14" s="264"/>
      <c r="R14" s="264"/>
      <c r="S14" s="264"/>
      <c r="T14" s="264"/>
      <c r="U14" s="264"/>
      <c r="V14" s="264"/>
      <c r="W14" s="264"/>
      <c r="X14" s="264"/>
      <c r="Y14" s="264"/>
      <c r="Z14" s="264"/>
    </row>
    <row r="15" ht="22.15" customHeight="1" spans="1:26">
      <c r="A15" s="264"/>
      <c r="B15" s="271">
        <v>7.1</v>
      </c>
      <c r="C15" s="272" t="s">
        <v>434</v>
      </c>
      <c r="D15" s="273" t="s">
        <v>295</v>
      </c>
      <c r="E15" s="274">
        <f>E14/12</f>
        <v>211.070294705204</v>
      </c>
      <c r="F15" s="264"/>
      <c r="G15" s="264"/>
      <c r="H15" s="264"/>
      <c r="I15" s="269"/>
      <c r="J15" s="269"/>
      <c r="K15" s="269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</row>
    <row r="16" ht="22.15" customHeight="1" spans="1:26">
      <c r="A16" s="264"/>
      <c r="B16" s="271">
        <v>8</v>
      </c>
      <c r="C16" s="272" t="s">
        <v>453</v>
      </c>
      <c r="D16" s="277"/>
      <c r="E16" s="274"/>
      <c r="F16" s="264"/>
      <c r="G16" s="264"/>
      <c r="H16" s="264"/>
      <c r="I16" s="269"/>
      <c r="J16" s="269"/>
      <c r="K16" s="269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</row>
    <row r="17" ht="22.15" customHeight="1" spans="1:26">
      <c r="A17" s="264"/>
      <c r="B17" s="271">
        <v>8.1</v>
      </c>
      <c r="C17" s="272" t="s">
        <v>454</v>
      </c>
      <c r="D17" s="277" t="s">
        <v>298</v>
      </c>
      <c r="E17" s="278">
        <f>'表3-项目现金流量表'!D24</f>
        <v>0.0637674301877296</v>
      </c>
      <c r="F17" s="264"/>
      <c r="G17" s="264"/>
      <c r="H17" s="264"/>
      <c r="I17" s="269"/>
      <c r="J17" s="269"/>
      <c r="K17" s="269"/>
      <c r="L17" s="264"/>
      <c r="M17" s="264"/>
      <c r="N17" s="264"/>
      <c r="O17" s="264"/>
      <c r="P17" s="264"/>
      <c r="Q17" s="264"/>
      <c r="R17" s="264"/>
      <c r="S17" s="264"/>
      <c r="T17" s="264"/>
      <c r="U17" s="264"/>
      <c r="V17" s="264"/>
      <c r="W17" s="264"/>
      <c r="X17" s="264"/>
      <c r="Y17" s="264"/>
      <c r="Z17" s="264"/>
    </row>
    <row r="18" ht="22.15" customHeight="1" spans="1:26">
      <c r="A18" s="264"/>
      <c r="B18" s="271">
        <v>8.3</v>
      </c>
      <c r="C18" s="272" t="s">
        <v>455</v>
      </c>
      <c r="D18" s="277" t="s">
        <v>298</v>
      </c>
      <c r="E18" s="278">
        <f>'表4-资本金现金流量表'!D22</f>
        <v>0.179673272016877</v>
      </c>
      <c r="F18" s="264"/>
      <c r="G18" s="264"/>
      <c r="H18" s="264"/>
      <c r="I18" s="269"/>
      <c r="J18" s="269"/>
      <c r="K18" s="269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</row>
    <row r="19" ht="22.15" customHeight="1" spans="1:26">
      <c r="A19" s="264"/>
      <c r="B19" s="279">
        <v>9</v>
      </c>
      <c r="C19" s="280" t="s">
        <v>442</v>
      </c>
      <c r="D19" s="281" t="s">
        <v>291</v>
      </c>
      <c r="E19" s="282">
        <f>'表3-项目现金流量表'!D29</f>
        <v>9.1963532410667</v>
      </c>
      <c r="F19" s="264"/>
      <c r="G19" s="264"/>
      <c r="H19" s="264"/>
      <c r="I19" s="269"/>
      <c r="J19" s="269"/>
      <c r="K19" s="269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</row>
    <row r="20" ht="13.5" customHeight="1" spans="1:26">
      <c r="A20" s="264"/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</row>
    <row r="21" customHeight="1" spans="1:26">
      <c r="A21" s="264"/>
      <c r="B21" s="283" t="str">
        <f>_xlfn.CONCAT(I2:K9)</f>
        <v>项目运营期12年年均营业收入3175万元，年均利润总额230万元，年均净利润211万元，全投资财务内部收益率6.38%，资本金财务内部收益率17.97%，投资回收期9.2年。综上，项目收益情况较好，满足优先投资收益率标准。</v>
      </c>
      <c r="C21" s="284"/>
      <c r="D21" s="284"/>
      <c r="E21" s="285"/>
      <c r="F21" s="264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</row>
    <row r="22" customHeight="1" spans="1:26">
      <c r="A22" s="264"/>
      <c r="B22" s="286"/>
      <c r="C22" s="287"/>
      <c r="D22" s="287"/>
      <c r="E22" s="288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  <c r="S22" s="264"/>
      <c r="T22" s="264"/>
      <c r="U22" s="264"/>
      <c r="V22" s="264"/>
      <c r="W22" s="264"/>
      <c r="X22" s="264"/>
      <c r="Y22" s="264"/>
      <c r="Z22" s="264"/>
    </row>
    <row r="23" customHeight="1" spans="1:26">
      <c r="A23" s="264"/>
      <c r="B23" s="286"/>
      <c r="C23" s="287"/>
      <c r="D23" s="287"/>
      <c r="E23" s="288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</row>
    <row r="24" customHeight="1" spans="1:26">
      <c r="A24" s="264"/>
      <c r="B24" s="286"/>
      <c r="C24" s="287"/>
      <c r="D24" s="287"/>
      <c r="E24" s="288"/>
      <c r="F24" s="264"/>
      <c r="G24" s="264"/>
      <c r="H24" s="264"/>
      <c r="I24" s="264"/>
      <c r="J24" s="264"/>
      <c r="K24" s="264"/>
      <c r="L24" s="264"/>
      <c r="M24" s="264"/>
      <c r="N24" s="264"/>
      <c r="O24" s="264"/>
      <c r="P24" s="264"/>
      <c r="Q24" s="264"/>
      <c r="R24" s="264"/>
      <c r="S24" s="264"/>
      <c r="T24" s="264"/>
      <c r="U24" s="264"/>
      <c r="V24" s="264"/>
      <c r="W24" s="264"/>
      <c r="X24" s="264"/>
      <c r="Y24" s="264"/>
      <c r="Z24" s="264"/>
    </row>
    <row r="25" customHeight="1" spans="1:26">
      <c r="A25" s="264"/>
      <c r="B25" s="289"/>
      <c r="C25" s="290"/>
      <c r="D25" s="290"/>
      <c r="E25" s="291"/>
      <c r="F25" s="264"/>
      <c r="G25" s="264"/>
      <c r="H25" s="264"/>
      <c r="I25" s="264"/>
      <c r="J25" s="264"/>
      <c r="K25" s="264"/>
      <c r="L25" s="264"/>
      <c r="M25" s="264"/>
      <c r="N25" s="264"/>
      <c r="O25" s="264"/>
      <c r="P25" s="264"/>
      <c r="Q25" s="264"/>
      <c r="R25" s="264"/>
      <c r="S25" s="264"/>
      <c r="T25" s="264"/>
      <c r="U25" s="264"/>
      <c r="V25" s="264"/>
      <c r="W25" s="264"/>
      <c r="X25" s="264"/>
      <c r="Y25" s="264"/>
      <c r="Z25" s="264"/>
    </row>
    <row r="26" customHeight="1" spans="1:26">
      <c r="A26" s="264"/>
      <c r="B26" s="292"/>
      <c r="C26" s="292"/>
      <c r="D26" s="292"/>
      <c r="E26" s="292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/>
      <c r="U26" s="264"/>
      <c r="V26" s="264"/>
      <c r="W26" s="264"/>
      <c r="X26" s="264"/>
      <c r="Y26" s="264"/>
      <c r="Z26" s="264"/>
    </row>
    <row r="27" customHeight="1" spans="1:26">
      <c r="A27" s="264"/>
      <c r="B27" s="292"/>
      <c r="C27" s="292"/>
      <c r="D27" s="292"/>
      <c r="E27" s="292"/>
      <c r="F27" s="264"/>
      <c r="G27" s="264"/>
      <c r="H27" s="264"/>
      <c r="I27" s="264"/>
      <c r="J27" s="264"/>
      <c r="K27" s="264"/>
      <c r="L27" s="264"/>
      <c r="M27" s="264"/>
      <c r="N27" s="264"/>
      <c r="O27" s="264"/>
      <c r="P27" s="264"/>
      <c r="Q27" s="264"/>
      <c r="R27" s="264"/>
      <c r="S27" s="264"/>
      <c r="T27" s="264"/>
      <c r="U27" s="264"/>
      <c r="V27" s="264"/>
      <c r="W27" s="264"/>
      <c r="X27" s="264"/>
      <c r="Y27" s="264"/>
      <c r="Z27" s="264"/>
    </row>
    <row r="28" customHeight="1" spans="1:26">
      <c r="A28" s="264"/>
      <c r="B28" s="292"/>
      <c r="C28" s="292"/>
      <c r="D28" s="292"/>
      <c r="E28" s="292"/>
      <c r="F28" s="264"/>
      <c r="G28" s="264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</row>
    <row r="29" customHeight="1" spans="1:26">
      <c r="A29" s="264"/>
      <c r="B29" s="292"/>
      <c r="C29" s="292"/>
      <c r="D29" s="292"/>
      <c r="E29" s="292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4"/>
      <c r="S29" s="264"/>
      <c r="T29" s="264"/>
      <c r="U29" s="264"/>
      <c r="V29" s="264"/>
      <c r="W29" s="264"/>
      <c r="X29" s="264"/>
      <c r="Y29" s="264"/>
      <c r="Z29" s="264"/>
    </row>
    <row r="30" customHeight="1" spans="1:26">
      <c r="A30" s="264"/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</row>
    <row r="31" customHeight="1" spans="1:26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</row>
    <row r="32" customHeight="1" spans="1:26">
      <c r="A32" s="264"/>
      <c r="B32" s="264"/>
      <c r="C32" s="264"/>
      <c r="D32" s="264"/>
      <c r="E32" s="264"/>
      <c r="F32" s="264"/>
      <c r="G32" s="264"/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</row>
    <row r="33" customHeight="1" spans="1:26">
      <c r="A33" s="264"/>
      <c r="B33" s="264"/>
      <c r="C33" s="264"/>
      <c r="D33" s="264"/>
      <c r="E33" s="264"/>
      <c r="F33" s="264"/>
      <c r="G33" s="264"/>
      <c r="H33" s="264"/>
      <c r="I33" s="264"/>
      <c r="J33" s="264"/>
      <c r="K33" s="264"/>
      <c r="L33" s="264"/>
      <c r="M33" s="264"/>
      <c r="N33" s="264"/>
      <c r="O33" s="264"/>
      <c r="P33" s="264"/>
      <c r="Q33" s="264"/>
      <c r="R33" s="264"/>
      <c r="S33" s="264"/>
      <c r="T33" s="264"/>
      <c r="U33" s="264"/>
      <c r="V33" s="264"/>
      <c r="W33" s="264"/>
      <c r="X33" s="264"/>
      <c r="Y33" s="264"/>
      <c r="Z33" s="264"/>
    </row>
    <row r="34" customHeight="1" spans="1:26">
      <c r="A34" s="264"/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264"/>
      <c r="T34" s="264"/>
      <c r="U34" s="264"/>
      <c r="V34" s="264"/>
      <c r="W34" s="264"/>
      <c r="X34" s="264"/>
      <c r="Y34" s="264"/>
      <c r="Z34" s="264"/>
    </row>
    <row r="35" customHeight="1" spans="1:26">
      <c r="A35" s="264"/>
      <c r="B35" s="264"/>
      <c r="C35" s="264"/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264"/>
      <c r="T35" s="264"/>
      <c r="U35" s="264"/>
      <c r="V35" s="264"/>
      <c r="W35" s="264"/>
      <c r="X35" s="264"/>
      <c r="Y35" s="264"/>
      <c r="Z35" s="264"/>
    </row>
    <row r="36" customHeight="1" spans="1:26">
      <c r="A36" s="264"/>
      <c r="B36" s="264"/>
      <c r="C36" s="264"/>
      <c r="D36" s="264"/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</row>
    <row r="37" customHeight="1" spans="1:26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</row>
    <row r="38" customHeight="1" spans="1:26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</row>
    <row r="39" customHeight="1" spans="1:26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</row>
    <row r="40" customHeight="1" spans="1:26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</row>
    <row r="41" customHeight="1" spans="1:26">
      <c r="B41" s="264"/>
      <c r="C41" s="264"/>
      <c r="D41" s="264"/>
      <c r="E41" s="264"/>
    </row>
    <row r="42" customHeight="1" spans="1:26">
      <c r="B42" s="264"/>
      <c r="C42" s="264"/>
      <c r="D42" s="264"/>
      <c r="E42" s="264"/>
    </row>
    <row r="43" customHeight="1" spans="1:26">
      <c r="B43" s="264"/>
      <c r="C43" s="264"/>
      <c r="D43" s="264"/>
      <c r="E43" s="264"/>
    </row>
  </sheetData>
  <mergeCells count="2">
    <mergeCell ref="B1:E1"/>
    <mergeCell ref="B21:E2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B1:G22"/>
  <sheetViews>
    <sheetView workbookViewId="0">
      <selection activeCell="E18" sqref="E18"/>
    </sheetView>
  </sheetViews>
  <sheetFormatPr defaultColWidth="9" defaultRowHeight="15" outlineLevelCol="6"/>
  <cols>
    <col min="2" max="5" width="15.75" customWidth="1"/>
  </cols>
  <sheetData>
    <row r="1" ht="15.75"/>
    <row r="2" ht="28" spans="2:7">
      <c r="B2" s="253" t="s">
        <v>456</v>
      </c>
      <c r="C2" s="254" t="s">
        <v>457</v>
      </c>
      <c r="D2" s="254" t="s">
        <v>458</v>
      </c>
      <c r="E2" s="255" t="s">
        <v>459</v>
      </c>
    </row>
    <row r="3" ht="28.75" spans="2:7">
      <c r="B3" s="256"/>
      <c r="C3" s="257"/>
      <c r="D3" s="257"/>
      <c r="E3" s="258" t="s">
        <v>460</v>
      </c>
    </row>
    <row r="4" ht="15.75" spans="2:7">
      <c r="B4" s="259">
        <v>1</v>
      </c>
      <c r="C4" s="187" t="s">
        <v>461</v>
      </c>
      <c r="D4" s="187">
        <v>0.2277</v>
      </c>
      <c r="E4" s="260">
        <v>0.0641</v>
      </c>
      <c r="G4">
        <f>IF(输入参数!E11=C4,E4,0)</f>
        <v>0</v>
      </c>
    </row>
    <row r="5" ht="15.75" spans="2:7">
      <c r="B5" s="259">
        <v>2</v>
      </c>
      <c r="C5" s="187" t="s">
        <v>462</v>
      </c>
      <c r="D5" s="187">
        <v>0.25</v>
      </c>
      <c r="E5" s="261">
        <v>0.1042</v>
      </c>
      <c r="G5">
        <f>IF(输入参数!E11=C5,E5,0)</f>
        <v>0</v>
      </c>
    </row>
    <row r="6" ht="15.75" spans="2:7">
      <c r="B6" s="259">
        <v>2</v>
      </c>
      <c r="C6" s="187" t="s">
        <v>463</v>
      </c>
      <c r="D6" s="187">
        <v>0.2595</v>
      </c>
      <c r="E6" s="261">
        <v>0.0284</v>
      </c>
      <c r="G6">
        <f>IF(输入参数!E11=C6,E6,0)</f>
        <v>0</v>
      </c>
    </row>
    <row r="7" ht="15.75" spans="2:7">
      <c r="B7" s="259">
        <v>3</v>
      </c>
      <c r="C7" s="187" t="s">
        <v>464</v>
      </c>
      <c r="D7" s="187">
        <v>0.2829</v>
      </c>
      <c r="E7" s="261">
        <v>0.0488</v>
      </c>
      <c r="G7">
        <f>IF(输入参数!E11=C7,E7,0)</f>
        <v>0</v>
      </c>
    </row>
    <row r="8" ht="15.75" spans="2:7">
      <c r="B8" s="259">
        <v>4</v>
      </c>
      <c r="C8" s="187" t="s">
        <v>465</v>
      </c>
      <c r="D8" s="187">
        <v>0.3035</v>
      </c>
      <c r="E8" s="261"/>
      <c r="G8">
        <f>IF(输入参数!E11=C8,E8,0)</f>
        <v>0</v>
      </c>
    </row>
    <row r="9" ht="15.75" spans="2:7">
      <c r="B9" s="259">
        <v>5</v>
      </c>
      <c r="C9" s="187" t="s">
        <v>466</v>
      </c>
      <c r="D9" s="187">
        <v>0.3078</v>
      </c>
      <c r="E9" s="261">
        <v>0.1665</v>
      </c>
      <c r="G9">
        <f>IF(输入参数!E11=C9,E9,0)</f>
        <v>0</v>
      </c>
    </row>
    <row r="10" ht="15.75" spans="2:7">
      <c r="B10" s="259">
        <v>6</v>
      </c>
      <c r="C10" s="187" t="s">
        <v>467</v>
      </c>
      <c r="D10" s="187">
        <v>0.3345</v>
      </c>
      <c r="E10" s="261">
        <v>0.0099</v>
      </c>
      <c r="G10">
        <f>IF(输入参数!E11=C10,E10,0)</f>
        <v>0</v>
      </c>
    </row>
    <row r="11" ht="15.75" spans="2:7">
      <c r="B11" s="259">
        <v>7</v>
      </c>
      <c r="C11" s="187" t="s">
        <v>468</v>
      </c>
      <c r="D11" s="187">
        <v>0.3545</v>
      </c>
      <c r="E11" s="261">
        <v>0.015</v>
      </c>
      <c r="G11">
        <f>IF(输入参数!E11=C11,E11,0)</f>
        <v>0</v>
      </c>
    </row>
    <row r="12" ht="15.75" spans="2:7">
      <c r="B12" s="259">
        <v>8</v>
      </c>
      <c r="C12" s="187" t="s">
        <v>469</v>
      </c>
      <c r="D12" s="187">
        <v>0.372</v>
      </c>
      <c r="E12" s="261">
        <v>0.0098</v>
      </c>
      <c r="G12">
        <f>IF(输入参数!E11=C12,E12,0)</f>
        <v>0</v>
      </c>
    </row>
    <row r="13" ht="15.75" spans="2:7">
      <c r="B13" s="259">
        <v>10</v>
      </c>
      <c r="C13" s="187" t="s">
        <v>470</v>
      </c>
      <c r="D13" s="187">
        <v>0.3731</v>
      </c>
      <c r="E13" s="262">
        <v>0</v>
      </c>
      <c r="G13">
        <f>IF(输入参数!E11=C13,E13,0)</f>
        <v>0</v>
      </c>
    </row>
    <row r="14" ht="15.75" spans="2:7">
      <c r="B14" s="259">
        <v>11</v>
      </c>
      <c r="C14" s="187" t="s">
        <v>471</v>
      </c>
      <c r="D14" s="187">
        <v>0.374</v>
      </c>
      <c r="E14" s="262">
        <v>0</v>
      </c>
      <c r="G14">
        <f>IF(输入参数!E11=C14,E14,0)</f>
        <v>0</v>
      </c>
    </row>
    <row r="15" ht="15.75" spans="2:7">
      <c r="B15" s="259">
        <v>12</v>
      </c>
      <c r="C15" s="187" t="s">
        <v>472</v>
      </c>
      <c r="D15" s="187">
        <v>0.3749</v>
      </c>
      <c r="E15" s="261">
        <v>0.014</v>
      </c>
      <c r="G15">
        <f>IF(输入参数!E11=C15,E15,0)</f>
        <v>0</v>
      </c>
    </row>
    <row r="16" ht="15.75" spans="2:7">
      <c r="B16" s="259">
        <v>13</v>
      </c>
      <c r="C16" s="187" t="s">
        <v>473</v>
      </c>
      <c r="D16" s="187">
        <v>0.3844</v>
      </c>
      <c r="E16" s="262">
        <v>0</v>
      </c>
      <c r="G16">
        <f>IF(输入参数!E11=C16,E16,0)</f>
        <v>0</v>
      </c>
    </row>
    <row r="17" ht="15.75" spans="2:7">
      <c r="B17" s="259">
        <v>14</v>
      </c>
      <c r="C17" s="187" t="s">
        <v>474</v>
      </c>
      <c r="D17" s="187">
        <v>0.391</v>
      </c>
      <c r="E17" s="262">
        <v>0.0055</v>
      </c>
      <c r="G17">
        <f>IF(输入参数!E11=C17,E17,0)</f>
        <v>0</v>
      </c>
    </row>
    <row r="18" ht="15.75" spans="2:7">
      <c r="B18" s="259">
        <v>15</v>
      </c>
      <c r="C18" s="187" t="s">
        <v>475</v>
      </c>
      <c r="D18" s="187">
        <v>0.3932</v>
      </c>
      <c r="E18" s="262">
        <v>0</v>
      </c>
      <c r="G18">
        <f>IF(输入参数!E11=C18,E18,0)</f>
        <v>0</v>
      </c>
    </row>
    <row r="19" ht="15.75" spans="2:7">
      <c r="B19" s="259">
        <v>16</v>
      </c>
      <c r="C19" s="187" t="s">
        <v>476</v>
      </c>
      <c r="D19" s="187">
        <v>0.3949</v>
      </c>
      <c r="E19" s="262">
        <v>0</v>
      </c>
      <c r="G19">
        <f>IF(输入参数!E11=C19,E19,0)</f>
        <v>0</v>
      </c>
    </row>
    <row r="20" ht="15.75" spans="2:7">
      <c r="B20" s="259">
        <v>17</v>
      </c>
      <c r="C20" s="187" t="s">
        <v>477</v>
      </c>
      <c r="D20" s="187">
        <v>0.4153</v>
      </c>
      <c r="E20" s="262">
        <v>0</v>
      </c>
      <c r="G20">
        <f>IF(输入参数!E11=C20,E20,0)</f>
        <v>0</v>
      </c>
    </row>
    <row r="21" ht="15.75" spans="2:7">
      <c r="B21" s="259">
        <v>18</v>
      </c>
      <c r="C21" s="187" t="s">
        <v>478</v>
      </c>
      <c r="D21" s="187">
        <v>0.453</v>
      </c>
      <c r="E21" s="262">
        <v>0</v>
      </c>
      <c r="G21">
        <f>IF(输入参数!E11=C21,E21,0)</f>
        <v>0</v>
      </c>
    </row>
    <row r="22" spans="2:7">
      <c r="F22" t="s">
        <v>479</v>
      </c>
      <c r="G22">
        <f>SUM(G4:G21)</f>
        <v>0</v>
      </c>
    </row>
  </sheetData>
  <mergeCells count="3">
    <mergeCell ref="B2:B3"/>
    <mergeCell ref="C2:C3"/>
    <mergeCell ref="D2:D3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21"/>
  <sheetViews>
    <sheetView topLeftCell="C5" workbookViewId="0">
      <selection activeCell="C22" sqref="C22"/>
    </sheetView>
  </sheetViews>
  <sheetFormatPr defaultColWidth="9" defaultRowHeight="15"/>
  <cols>
    <col min="1" max="2" width="25.8333333333333" customWidth="1"/>
    <col min="3" max="7" width="21.5833333333333" customWidth="1"/>
    <col min="8" max="14" width="16.5833333333333" customWidth="1"/>
  </cols>
  <sheetData>
    <row r="1" ht="16" hidden="1" customHeight="1" spans="1:14">
      <c r="A1" s="229"/>
      <c r="B1" s="229"/>
    </row>
    <row r="2" s="223" customFormat="1" ht="14" hidden="1" spans="1:14">
      <c r="A2" s="230" t="s">
        <v>480</v>
      </c>
      <c r="B2" s="230"/>
      <c r="C2" s="231" t="s">
        <v>481</v>
      </c>
      <c r="D2" s="231" t="s">
        <v>482</v>
      </c>
      <c r="E2" s="231" t="s">
        <v>483</v>
      </c>
      <c r="F2" s="231" t="s">
        <v>484</v>
      </c>
      <c r="G2" s="231" t="s">
        <v>485</v>
      </c>
      <c r="H2" s="232"/>
      <c r="I2" s="233"/>
      <c r="J2" s="233"/>
      <c r="K2" s="233"/>
      <c r="L2" s="233"/>
      <c r="M2" s="233"/>
      <c r="N2" s="233"/>
    </row>
    <row r="3" s="224" customFormat="1" ht="14" hidden="1" spans="1:14">
      <c r="A3" s="234" t="s">
        <v>486</v>
      </c>
      <c r="B3" s="234"/>
      <c r="C3" s="235">
        <f>18</f>
        <v>18</v>
      </c>
      <c r="D3" s="236">
        <f>IF(D4=2,1.25,IF(D4=5,1.05,IF(D4=10,1,IF(D4=15,0.98,IF(D4=20,0.95,IF(D4=30,0.93,IF(D4=40,0.9,IF(D4=50,0.85,0))))))))</f>
        <v>1</v>
      </c>
      <c r="E3" s="235">
        <f>IF(输入参数!E24="不包含送出线路及对侧间隔",1,IF(输入参数!E24="包含20km以内高压送出线路及对侧间隔",1.1,IF(输入参数!E24="包含40km以内高压送出线路及对侧间隔",1.15,IF(输入参数!E24="包含70km以内高压送出线路及对侧间隔",1.2,IF(输入参数!E24="包含100km以内高压送出线路及对侧间隔",1.3,0)))))*IF(输入参数!E25="330kV以下",1,IF(输入参数!E25="330kV及以上",1.1,0))</f>
        <v>1.1</v>
      </c>
      <c r="F3" s="235">
        <v>1</v>
      </c>
      <c r="G3" s="235">
        <v>1</v>
      </c>
      <c r="H3" s="237"/>
    </row>
    <row r="4" s="224" customFormat="1" ht="14" hidden="1" spans="1:14">
      <c r="A4" s="234" t="s">
        <v>487</v>
      </c>
      <c r="B4" s="234"/>
      <c r="C4" s="238">
        <f>IF(输入参数!E17&lt;=2,2,IF(输入参数!E17&lt;=5,5,IF(输入参数!E17&lt;=10,10,IF(输入参数!E17&lt;=15,15,IF(输入参数!E17&lt;=20,20,IF(输入参数!E17&lt;=30,30,IF(输入参数!E17&lt;=40,40,IF(输入参数!E17&lt;50,50,50))))))))</f>
        <v>10</v>
      </c>
      <c r="D4" s="238">
        <f>IF(输入参数!E17/C4&gt;0.85,C4,IF(输入参数!E17&lt;=5,2,IF(输入参数!E17&lt;=10,5,IF(输入参数!E17&lt;=15,10,IF(输入参数!E17&lt;=20,15,IF(输入参数!E17&lt;=30,20,IF(输入参数!E17&lt;=40,30,IF(输入参数!E17&lt;50,40,0))))))))</f>
        <v>10</v>
      </c>
    </row>
    <row r="5" s="224" customFormat="1" ht="14" spans="1:14">
      <c r="A5" s="226"/>
      <c r="B5" s="226"/>
      <c r="C5" s="237"/>
      <c r="D5" s="239"/>
      <c r="E5" s="237"/>
      <c r="F5" s="237"/>
      <c r="G5" s="237"/>
      <c r="H5" s="237"/>
    </row>
    <row r="6" s="225" customFormat="1" spans="1:14">
      <c r="A6" s="240" t="s">
        <v>488</v>
      </c>
      <c r="B6" s="241" t="s">
        <v>77</v>
      </c>
      <c r="C6" s="241" t="s">
        <v>78</v>
      </c>
      <c r="D6" s="241" t="s">
        <v>79</v>
      </c>
      <c r="E6" s="241" t="s">
        <v>80</v>
      </c>
      <c r="F6" s="241" t="s">
        <v>81</v>
      </c>
      <c r="G6" s="241" t="s">
        <v>82</v>
      </c>
      <c r="H6" s="241" t="s">
        <v>83</v>
      </c>
      <c r="I6" s="241" t="s">
        <v>84</v>
      </c>
      <c r="J6" s="241" t="s">
        <v>85</v>
      </c>
      <c r="K6" s="241" t="s">
        <v>86</v>
      </c>
      <c r="L6" s="241" t="s">
        <v>87</v>
      </c>
      <c r="M6" s="241" t="s">
        <v>88</v>
      </c>
      <c r="N6" s="241" t="s">
        <v>89</v>
      </c>
    </row>
    <row r="7" s="226" customFormat="1" ht="14" hidden="1" spans="1:14">
      <c r="A7" s="235" t="s">
        <v>489</v>
      </c>
      <c r="B7" s="235"/>
      <c r="C7" s="234">
        <v>0.8</v>
      </c>
      <c r="D7" s="234">
        <v>1</v>
      </c>
      <c r="E7" s="234">
        <v>1</v>
      </c>
      <c r="F7" s="234">
        <v>1</v>
      </c>
      <c r="G7" s="234">
        <v>1.2</v>
      </c>
      <c r="H7" s="234">
        <v>1.2</v>
      </c>
      <c r="I7" s="234">
        <v>1.2</v>
      </c>
      <c r="J7" s="234">
        <v>1.2</v>
      </c>
      <c r="K7" s="234">
        <v>1.5</v>
      </c>
      <c r="L7" s="234">
        <v>1.5</v>
      </c>
      <c r="M7" s="234">
        <v>1.5</v>
      </c>
      <c r="N7" s="234">
        <v>1.5</v>
      </c>
    </row>
    <row r="8" s="224" customFormat="1" ht="14" hidden="1" spans="1:14">
      <c r="A8" s="235" t="s">
        <v>490</v>
      </c>
      <c r="B8" s="235"/>
      <c r="C8" s="234">
        <f>$C$3*($D$3*$E$3*$F$3*$G$3*C7)</f>
        <v>15.84</v>
      </c>
      <c r="D8" s="234">
        <f>$C$3*($D$3*$E$3*$F$3*$G$3*D7)</f>
        <v>19.8</v>
      </c>
      <c r="E8" s="234">
        <f>$C$3*($D$3*$E$3*$F$3*$G$3*E7)</f>
        <v>19.8</v>
      </c>
      <c r="F8" s="234">
        <f>$C$3*($D$3*$E$3*$F$3*$G$3*F7)</f>
        <v>19.8</v>
      </c>
      <c r="G8" s="234">
        <f t="shared" ref="G8:V8" si="0">$C$3*($D$3*$E$3*$F$3*$G$3*G7)</f>
        <v>23.76</v>
      </c>
      <c r="H8" s="234">
        <f t="shared" si="0"/>
        <v>23.76</v>
      </c>
      <c r="I8" s="234">
        <f t="shared" si="0"/>
        <v>23.76</v>
      </c>
      <c r="J8" s="234">
        <f t="shared" si="0"/>
        <v>23.76</v>
      </c>
      <c r="K8" s="234">
        <f t="shared" si="0"/>
        <v>29.7</v>
      </c>
      <c r="L8" s="234">
        <f t="shared" si="0"/>
        <v>29.7</v>
      </c>
      <c r="M8" s="234">
        <f t="shared" si="0"/>
        <v>29.7</v>
      </c>
      <c r="N8" s="234">
        <f t="shared" si="0"/>
        <v>29.7</v>
      </c>
    </row>
    <row r="9" s="226" customFormat="1" ht="14" hidden="1" spans="1:14">
      <c r="A9" s="242" t="s">
        <v>491</v>
      </c>
      <c r="B9" s="242"/>
      <c r="C9" s="234">
        <f>输入参数!$E$17*C8</f>
        <v>158.4</v>
      </c>
      <c r="D9" s="234">
        <f>输入参数!$E$17*D8</f>
        <v>198</v>
      </c>
      <c r="E9" s="234">
        <f>输入参数!$E$17*E8</f>
        <v>198</v>
      </c>
      <c r="F9" s="234">
        <f>输入参数!$E$17*F8</f>
        <v>198</v>
      </c>
      <c r="G9" s="234">
        <f>输入参数!$E$17*G8</f>
        <v>237.6</v>
      </c>
      <c r="H9" s="234">
        <f>输入参数!$E$17*H8</f>
        <v>237.6</v>
      </c>
      <c r="I9" s="234">
        <f>输入参数!$E$17*I8</f>
        <v>237.6</v>
      </c>
      <c r="J9" s="234">
        <f>输入参数!$E$17*J8</f>
        <v>237.6</v>
      </c>
      <c r="K9" s="234">
        <f>输入参数!$E$17*K8</f>
        <v>297</v>
      </c>
      <c r="L9" s="234">
        <f>输入参数!$E$17*L8</f>
        <v>297</v>
      </c>
      <c r="M9" s="234">
        <f>输入参数!$E$17*M8</f>
        <v>297</v>
      </c>
      <c r="N9" s="234">
        <f>输入参数!$E$17*N8</f>
        <v>297</v>
      </c>
    </row>
    <row r="10" s="224" customFormat="1" ht="14" hidden="1" spans="1:14">
      <c r="A10" s="242" t="s">
        <v>492</v>
      </c>
      <c r="B10" s="242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</row>
    <row r="11" hidden="1"/>
    <row r="12" hidden="1"/>
    <row r="13" s="227" customFormat="1" spans="1:14">
      <c r="A13" s="244" t="s">
        <v>493</v>
      </c>
      <c r="B13" s="244"/>
      <c r="C13" s="244">
        <f>'表1-投资计划与资金筹措表'!D6-输入参数!E22</f>
        <v>14593.136469912</v>
      </c>
      <c r="D13" s="244">
        <f>C13</f>
        <v>14593.136469912</v>
      </c>
      <c r="E13" s="244">
        <f t="shared" ref="E13:V13" si="1">D13</f>
        <v>14593.136469912</v>
      </c>
      <c r="F13" s="244">
        <f t="shared" si="1"/>
        <v>14593.136469912</v>
      </c>
      <c r="G13" s="244">
        <f t="shared" si="1"/>
        <v>14593.136469912</v>
      </c>
      <c r="H13" s="244">
        <f t="shared" si="1"/>
        <v>14593.136469912</v>
      </c>
      <c r="I13" s="244">
        <f t="shared" si="1"/>
        <v>14593.136469912</v>
      </c>
      <c r="J13" s="244">
        <f t="shared" si="1"/>
        <v>14593.136469912</v>
      </c>
      <c r="K13" s="244">
        <f t="shared" si="1"/>
        <v>14593.136469912</v>
      </c>
      <c r="L13" s="244">
        <f t="shared" si="1"/>
        <v>14593.136469912</v>
      </c>
      <c r="M13" s="244">
        <f t="shared" si="1"/>
        <v>14593.136469912</v>
      </c>
      <c r="N13" s="244">
        <f t="shared" si="1"/>
        <v>14593.136469912</v>
      </c>
    </row>
    <row r="14" s="227" customFormat="1" spans="1:14">
      <c r="A14" s="245" t="s">
        <v>494</v>
      </c>
      <c r="B14" s="245"/>
      <c r="C14" s="246">
        <v>0.002</v>
      </c>
      <c r="D14" s="247">
        <v>0.002</v>
      </c>
      <c r="E14" s="247">
        <v>0.002</v>
      </c>
      <c r="F14" s="247">
        <v>0.002</v>
      </c>
      <c r="G14" s="247">
        <v>0.002</v>
      </c>
      <c r="H14" s="247">
        <v>0.002</v>
      </c>
      <c r="I14" s="247">
        <v>0.002</v>
      </c>
      <c r="J14" s="247">
        <v>0.002</v>
      </c>
      <c r="K14" s="247">
        <v>0.002</v>
      </c>
      <c r="L14" s="247">
        <v>0.002</v>
      </c>
      <c r="M14" s="247">
        <v>0.002</v>
      </c>
      <c r="N14" s="247">
        <v>0.002</v>
      </c>
    </row>
    <row r="15" s="227" customFormat="1" spans="1:14">
      <c r="A15" s="248" t="s">
        <v>495</v>
      </c>
      <c r="B15" s="248"/>
      <c r="C15" s="244">
        <f>C13*C14</f>
        <v>29.186272939824</v>
      </c>
      <c r="D15" s="244">
        <f t="shared" ref="D15:V15" si="2">D13*D14</f>
        <v>29.186272939824</v>
      </c>
      <c r="E15" s="244">
        <f t="shared" si="2"/>
        <v>29.186272939824</v>
      </c>
      <c r="F15" s="244">
        <f t="shared" si="2"/>
        <v>29.186272939824</v>
      </c>
      <c r="G15" s="244">
        <f t="shared" si="2"/>
        <v>29.186272939824</v>
      </c>
      <c r="H15" s="244">
        <f t="shared" si="2"/>
        <v>29.186272939824</v>
      </c>
      <c r="I15" s="244">
        <f t="shared" si="2"/>
        <v>29.186272939824</v>
      </c>
      <c r="J15" s="244">
        <f t="shared" si="2"/>
        <v>29.186272939824</v>
      </c>
      <c r="K15" s="244">
        <f t="shared" si="2"/>
        <v>29.186272939824</v>
      </c>
      <c r="L15" s="244">
        <f t="shared" si="2"/>
        <v>29.186272939824</v>
      </c>
      <c r="M15" s="244">
        <f t="shared" si="2"/>
        <v>29.186272939824</v>
      </c>
      <c r="N15" s="244">
        <f t="shared" si="2"/>
        <v>29.186272939824</v>
      </c>
    </row>
    <row r="16" s="227" customFormat="1" spans="1:14">
      <c r="A16" s="235" t="s">
        <v>496</v>
      </c>
      <c r="B16" s="235"/>
      <c r="C16" s="234">
        <v>0.8</v>
      </c>
      <c r="D16" s="234">
        <v>1</v>
      </c>
      <c r="E16" s="234">
        <v>1</v>
      </c>
      <c r="F16" s="234">
        <v>1</v>
      </c>
      <c r="G16" s="234">
        <v>1.2</v>
      </c>
      <c r="H16" s="234">
        <v>1.2</v>
      </c>
      <c r="I16" s="234">
        <v>1.2</v>
      </c>
      <c r="J16" s="234">
        <v>1.2</v>
      </c>
      <c r="K16" s="234">
        <v>1.5</v>
      </c>
      <c r="L16" s="234">
        <v>1.5</v>
      </c>
      <c r="M16" s="234">
        <v>1.5</v>
      </c>
      <c r="N16" s="234">
        <v>1.5</v>
      </c>
    </row>
    <row r="17" s="227" customFormat="1" spans="1:14">
      <c r="A17" s="248" t="s">
        <v>497</v>
      </c>
      <c r="B17" s="248"/>
      <c r="C17" s="234">
        <f>C15*C16</f>
        <v>23.3490183518592</v>
      </c>
      <c r="D17" s="234">
        <f t="shared" ref="D17:V17" si="3">D15*D16</f>
        <v>29.186272939824</v>
      </c>
      <c r="E17" s="234">
        <f t="shared" si="3"/>
        <v>29.186272939824</v>
      </c>
      <c r="F17" s="234">
        <f t="shared" si="3"/>
        <v>29.186272939824</v>
      </c>
      <c r="G17" s="234">
        <f t="shared" si="3"/>
        <v>35.0235275277888</v>
      </c>
      <c r="H17" s="234">
        <f t="shared" si="3"/>
        <v>35.0235275277888</v>
      </c>
      <c r="I17" s="234">
        <f t="shared" si="3"/>
        <v>35.0235275277888</v>
      </c>
      <c r="J17" s="234">
        <f t="shared" si="3"/>
        <v>35.0235275277888</v>
      </c>
      <c r="K17" s="234">
        <f t="shared" si="3"/>
        <v>43.779409409736</v>
      </c>
      <c r="L17" s="234">
        <f t="shared" si="3"/>
        <v>43.779409409736</v>
      </c>
      <c r="M17" s="234">
        <f t="shared" si="3"/>
        <v>43.779409409736</v>
      </c>
      <c r="N17" s="234">
        <f t="shared" si="3"/>
        <v>43.779409409736</v>
      </c>
    </row>
    <row r="18" s="227" customFormat="1" spans="1:14">
      <c r="A18" s="245" t="s">
        <v>498</v>
      </c>
      <c r="B18" s="245"/>
      <c r="C18" s="249">
        <v>40</v>
      </c>
      <c r="D18" s="249">
        <v>40</v>
      </c>
      <c r="E18" s="249">
        <v>40</v>
      </c>
      <c r="F18" s="249">
        <v>40</v>
      </c>
      <c r="G18" s="249">
        <v>40</v>
      </c>
      <c r="H18" s="249">
        <v>40</v>
      </c>
      <c r="I18" s="249">
        <v>40</v>
      </c>
      <c r="J18" s="249">
        <v>40</v>
      </c>
      <c r="K18" s="249">
        <v>40</v>
      </c>
      <c r="L18" s="249">
        <v>40</v>
      </c>
      <c r="M18" s="249">
        <v>40</v>
      </c>
      <c r="N18" s="249">
        <v>40</v>
      </c>
    </row>
    <row r="19" s="227" customFormat="1" spans="1:14">
      <c r="A19" s="245" t="s">
        <v>499</v>
      </c>
      <c r="B19" s="245"/>
      <c r="C19" s="249">
        <v>15</v>
      </c>
      <c r="D19" s="249">
        <v>15</v>
      </c>
      <c r="E19" s="249">
        <v>15</v>
      </c>
      <c r="F19" s="249">
        <v>15</v>
      </c>
      <c r="G19" s="249">
        <v>15</v>
      </c>
      <c r="H19" s="249">
        <v>15</v>
      </c>
      <c r="I19" s="249">
        <v>15</v>
      </c>
      <c r="J19" s="249">
        <v>15</v>
      </c>
      <c r="K19" s="249">
        <v>15</v>
      </c>
      <c r="L19" s="249">
        <v>15</v>
      </c>
      <c r="M19" s="249">
        <v>15</v>
      </c>
      <c r="N19" s="249">
        <v>15</v>
      </c>
    </row>
    <row r="20" s="228" customFormat="1" spans="1:14">
      <c r="A20" s="250" t="s">
        <v>500</v>
      </c>
      <c r="B20" s="250"/>
      <c r="C20" s="251">
        <f>C17+C18+C19</f>
        <v>78.3490183518592</v>
      </c>
      <c r="D20" s="251">
        <f>D17+D18+D19</f>
        <v>84.186272939824</v>
      </c>
      <c r="E20" s="251">
        <f t="shared" ref="D20:V20" si="4">E17+E18+E19</f>
        <v>84.186272939824</v>
      </c>
      <c r="F20" s="251">
        <f t="shared" si="4"/>
        <v>84.186272939824</v>
      </c>
      <c r="G20" s="251">
        <f t="shared" si="4"/>
        <v>90.0235275277888</v>
      </c>
      <c r="H20" s="251">
        <f t="shared" si="4"/>
        <v>90.0235275277888</v>
      </c>
      <c r="I20" s="251">
        <f t="shared" si="4"/>
        <v>90.0235275277888</v>
      </c>
      <c r="J20" s="251">
        <f t="shared" si="4"/>
        <v>90.0235275277888</v>
      </c>
      <c r="K20" s="251">
        <f t="shared" si="4"/>
        <v>98.779409409736</v>
      </c>
      <c r="L20" s="251">
        <f t="shared" si="4"/>
        <v>98.779409409736</v>
      </c>
      <c r="M20" s="251">
        <f t="shared" si="4"/>
        <v>98.779409409736</v>
      </c>
      <c r="N20" s="251">
        <f t="shared" si="4"/>
        <v>98.779409409736</v>
      </c>
    </row>
    <row r="21" s="227" customFormat="1" spans="1:14">
      <c r="A21" s="252"/>
      <c r="B21" s="252"/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78"/>
  <sheetViews>
    <sheetView workbookViewId="0">
      <selection activeCell="G2" sqref="G$1:G$1048576"/>
    </sheetView>
  </sheetViews>
  <sheetFormatPr defaultColWidth="8.75" defaultRowHeight="15"/>
  <cols>
    <col min="1" max="11" width="17.75" style="189" customWidth="1"/>
    <col min="12" max="16384" width="8.75" style="189"/>
  </cols>
  <sheetData>
    <row r="1" ht="23" spans="1:11">
      <c r="A1" s="190" t="s">
        <v>501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</row>
    <row r="2" spans="1:11">
      <c r="A2" s="192" t="s">
        <v>502</v>
      </c>
      <c r="B2" s="193" t="s">
        <v>503</v>
      </c>
      <c r="C2" s="194" t="s">
        <v>466</v>
      </c>
      <c r="D2" s="194" t="s">
        <v>462</v>
      </c>
      <c r="E2" s="194" t="s">
        <v>504</v>
      </c>
      <c r="F2" s="194" t="s">
        <v>468</v>
      </c>
      <c r="G2" s="194" t="s">
        <v>505</v>
      </c>
      <c r="H2" s="194" t="s">
        <v>476</v>
      </c>
      <c r="I2" s="194" t="s">
        <v>461</v>
      </c>
      <c r="J2" s="194" t="s">
        <v>474</v>
      </c>
      <c r="K2" s="195" t="s">
        <v>506</v>
      </c>
    </row>
    <row r="3" spans="1:11">
      <c r="A3" s="192"/>
      <c r="B3" s="193"/>
      <c r="C3" s="196" t="s">
        <v>507</v>
      </c>
      <c r="D3" s="196" t="s">
        <v>507</v>
      </c>
      <c r="E3" s="196" t="s">
        <v>507</v>
      </c>
      <c r="F3" s="196" t="s">
        <v>507</v>
      </c>
      <c r="G3" s="196" t="s">
        <v>507</v>
      </c>
      <c r="H3" s="196" t="s">
        <v>507</v>
      </c>
      <c r="I3" s="196" t="s">
        <v>507</v>
      </c>
      <c r="J3" s="196" t="s">
        <v>507</v>
      </c>
      <c r="K3" s="195"/>
    </row>
    <row r="4" spans="1:11">
      <c r="A4" s="197" t="s">
        <v>508</v>
      </c>
      <c r="B4" s="198" t="s">
        <v>509</v>
      </c>
      <c r="C4" s="199">
        <v>10745396.45</v>
      </c>
      <c r="D4" s="199">
        <v>3009124.83</v>
      </c>
      <c r="E4" s="199">
        <v>291597.37</v>
      </c>
      <c r="F4" s="199">
        <v>482316.65</v>
      </c>
      <c r="G4" s="199">
        <v>9266011.68</v>
      </c>
      <c r="H4" s="199">
        <v>96728.56</v>
      </c>
      <c r="I4" s="199">
        <v>1744252.66</v>
      </c>
      <c r="J4" s="199">
        <v>785362.07</v>
      </c>
      <c r="K4" s="199">
        <v>26420790.27</v>
      </c>
    </row>
    <row r="5" spans="1:11">
      <c r="A5" s="200"/>
      <c r="B5" s="198" t="s">
        <v>510</v>
      </c>
      <c r="C5" s="199">
        <v>0</v>
      </c>
      <c r="D5" s="199">
        <v>0</v>
      </c>
      <c r="E5" s="199">
        <v>0</v>
      </c>
      <c r="F5" s="199">
        <v>0</v>
      </c>
      <c r="G5" s="199">
        <v>0</v>
      </c>
      <c r="H5" s="199">
        <v>0</v>
      </c>
      <c r="I5" s="199">
        <v>0</v>
      </c>
      <c r="J5" s="199">
        <v>0</v>
      </c>
      <c r="K5" s="199">
        <v>0</v>
      </c>
    </row>
    <row r="6" spans="1:11">
      <c r="A6" s="200"/>
      <c r="B6" s="198" t="s">
        <v>511</v>
      </c>
      <c r="C6" s="199">
        <v>140338525.41</v>
      </c>
      <c r="D6" s="199">
        <v>69006926.67</v>
      </c>
      <c r="E6" s="199">
        <v>93202742.24</v>
      </c>
      <c r="F6" s="199">
        <v>51414319.65</v>
      </c>
      <c r="G6" s="199">
        <v>101306085.01</v>
      </c>
      <c r="H6" s="199">
        <v>10111526.23</v>
      </c>
      <c r="I6" s="199">
        <v>250154981.96</v>
      </c>
      <c r="J6" s="199">
        <v>126815652.4</v>
      </c>
      <c r="K6" s="199">
        <v>842350759.57</v>
      </c>
    </row>
    <row r="7" spans="1:11">
      <c r="A7" s="200"/>
      <c r="B7" s="198" t="s">
        <v>512</v>
      </c>
      <c r="C7" s="199">
        <v>0</v>
      </c>
      <c r="D7" s="199">
        <v>0</v>
      </c>
      <c r="E7" s="199">
        <v>0</v>
      </c>
      <c r="F7" s="199">
        <v>0</v>
      </c>
      <c r="G7" s="199">
        <v>0</v>
      </c>
      <c r="H7" s="199">
        <v>0</v>
      </c>
      <c r="I7" s="199">
        <v>0</v>
      </c>
      <c r="J7" s="199">
        <v>0</v>
      </c>
      <c r="K7" s="199">
        <v>0</v>
      </c>
    </row>
    <row r="8" spans="1:11">
      <c r="A8" s="200"/>
      <c r="B8" s="198" t="s">
        <v>513</v>
      </c>
      <c r="C8" s="199">
        <v>0</v>
      </c>
      <c r="D8" s="199">
        <v>0</v>
      </c>
      <c r="E8" s="199">
        <v>0</v>
      </c>
      <c r="F8" s="199">
        <v>0</v>
      </c>
      <c r="G8" s="199">
        <v>0</v>
      </c>
      <c r="H8" s="199">
        <v>0</v>
      </c>
      <c r="I8" s="199">
        <v>12000</v>
      </c>
      <c r="J8" s="199">
        <v>0</v>
      </c>
      <c r="K8" s="199">
        <v>12000</v>
      </c>
    </row>
    <row r="9" spans="1:11">
      <c r="A9" s="200"/>
      <c r="B9" s="198" t="s">
        <v>514</v>
      </c>
      <c r="C9" s="199">
        <v>10885192.61</v>
      </c>
      <c r="D9" s="199">
        <v>1892392.12</v>
      </c>
      <c r="E9" s="199">
        <v>1302288.55</v>
      </c>
      <c r="F9" s="199">
        <v>3517404.78</v>
      </c>
      <c r="G9" s="199">
        <v>4289776.01</v>
      </c>
      <c r="H9" s="199">
        <v>888945.99</v>
      </c>
      <c r="I9" s="199">
        <v>1201082.95</v>
      </c>
      <c r="J9" s="199">
        <v>133167.23</v>
      </c>
      <c r="K9" s="199">
        <v>24110250.24</v>
      </c>
    </row>
    <row r="10" spans="1:11">
      <c r="A10" s="200"/>
      <c r="B10" s="198" t="s">
        <v>515</v>
      </c>
      <c r="C10" s="199">
        <v>2624400.24</v>
      </c>
      <c r="D10" s="199">
        <v>2653567.48</v>
      </c>
      <c r="E10" s="199">
        <v>4933154.61</v>
      </c>
      <c r="F10" s="199">
        <v>0</v>
      </c>
      <c r="G10" s="199">
        <v>2737608.42</v>
      </c>
      <c r="H10" s="199">
        <v>0</v>
      </c>
      <c r="I10" s="199">
        <v>6931655.27</v>
      </c>
      <c r="J10" s="199">
        <v>6153302.43</v>
      </c>
      <c r="K10" s="199">
        <v>26033688.45</v>
      </c>
    </row>
    <row r="11" spans="1:11">
      <c r="A11" s="200"/>
      <c r="B11" s="198" t="s">
        <v>516</v>
      </c>
      <c r="C11" s="199">
        <v>1969952.8</v>
      </c>
      <c r="D11" s="199">
        <v>1206677.11</v>
      </c>
      <c r="E11" s="199">
        <v>835791.32</v>
      </c>
      <c r="F11" s="199">
        <v>650972.18</v>
      </c>
      <c r="G11" s="199">
        <v>1225017.87</v>
      </c>
      <c r="H11" s="199">
        <v>50803.44</v>
      </c>
      <c r="I11" s="199">
        <v>2502966.41</v>
      </c>
      <c r="J11" s="199">
        <v>4683191.79</v>
      </c>
      <c r="K11" s="199">
        <v>13125372.92</v>
      </c>
    </row>
    <row r="12" spans="1:11">
      <c r="A12" s="200"/>
      <c r="B12" s="198" t="s">
        <v>517</v>
      </c>
      <c r="C12" s="199">
        <v>0</v>
      </c>
      <c r="D12" s="199">
        <v>0</v>
      </c>
      <c r="E12" s="199">
        <v>0</v>
      </c>
      <c r="F12" s="199">
        <v>0</v>
      </c>
      <c r="G12" s="199">
        <v>0</v>
      </c>
      <c r="H12" s="199">
        <v>0</v>
      </c>
      <c r="I12" s="199">
        <v>0</v>
      </c>
      <c r="J12" s="199">
        <v>0</v>
      </c>
      <c r="K12" s="199">
        <v>0</v>
      </c>
    </row>
    <row r="13" spans="1:11">
      <c r="A13" s="200"/>
      <c r="B13" s="198" t="s">
        <v>518</v>
      </c>
      <c r="C13" s="199">
        <v>436916.4</v>
      </c>
      <c r="D13" s="199">
        <v>207803.07</v>
      </c>
      <c r="E13" s="199">
        <v>66033.33</v>
      </c>
      <c r="F13" s="199">
        <v>68031.55</v>
      </c>
      <c r="G13" s="199">
        <v>249170.14</v>
      </c>
      <c r="H13" s="199">
        <v>38937.09</v>
      </c>
      <c r="I13" s="199">
        <v>579252.09</v>
      </c>
      <c r="J13" s="199">
        <v>1039486.55</v>
      </c>
      <c r="K13" s="199">
        <v>2685630.22</v>
      </c>
    </row>
    <row r="14" spans="1:11">
      <c r="A14" s="200"/>
      <c r="B14" s="198" t="s">
        <v>519</v>
      </c>
      <c r="C14" s="199">
        <v>1535809.63</v>
      </c>
      <c r="D14" s="199">
        <v>0</v>
      </c>
      <c r="E14" s="199">
        <v>116616.69</v>
      </c>
      <c r="F14" s="199">
        <v>526728.08</v>
      </c>
      <c r="G14" s="199">
        <v>554108.34</v>
      </c>
      <c r="H14" s="199">
        <v>2112876.48</v>
      </c>
      <c r="I14" s="199">
        <v>0</v>
      </c>
      <c r="J14" s="199">
        <v>709489.2</v>
      </c>
      <c r="K14" s="199">
        <v>5555628.42</v>
      </c>
    </row>
    <row r="15" spans="1:11">
      <c r="A15" s="200"/>
      <c r="B15" s="198" t="s">
        <v>520</v>
      </c>
      <c r="C15" s="199">
        <v>415882.1</v>
      </c>
      <c r="D15" s="199">
        <v>864865.84</v>
      </c>
      <c r="E15" s="199">
        <v>173047.09</v>
      </c>
      <c r="F15" s="199">
        <v>288847.35</v>
      </c>
      <c r="G15" s="199">
        <v>372066.12</v>
      </c>
      <c r="H15" s="199">
        <v>425933.77</v>
      </c>
      <c r="I15" s="199">
        <v>153750.96</v>
      </c>
      <c r="J15" s="199">
        <v>117161.14</v>
      </c>
      <c r="K15" s="199">
        <v>2811554.37</v>
      </c>
    </row>
    <row r="16" spans="1:11">
      <c r="A16" s="200"/>
      <c r="B16" s="198" t="s">
        <v>521</v>
      </c>
      <c r="C16" s="199">
        <v>0</v>
      </c>
      <c r="D16" s="199">
        <v>0</v>
      </c>
      <c r="E16" s="199">
        <v>0</v>
      </c>
      <c r="F16" s="199">
        <v>0</v>
      </c>
      <c r="G16" s="199">
        <v>0</v>
      </c>
      <c r="H16" s="199">
        <v>0</v>
      </c>
      <c r="I16" s="199">
        <v>0</v>
      </c>
      <c r="J16" s="199">
        <v>0</v>
      </c>
      <c r="K16" s="199">
        <v>0</v>
      </c>
    </row>
    <row r="17" spans="1:11">
      <c r="A17" s="200"/>
      <c r="B17" s="198" t="s">
        <v>522</v>
      </c>
      <c r="C17" s="199">
        <v>0</v>
      </c>
      <c r="D17" s="199">
        <v>0</v>
      </c>
      <c r="E17" s="199">
        <v>0</v>
      </c>
      <c r="F17" s="199">
        <v>0</v>
      </c>
      <c r="G17" s="199">
        <v>34792.45</v>
      </c>
      <c r="H17" s="199">
        <v>0</v>
      </c>
      <c r="I17" s="199">
        <v>0</v>
      </c>
      <c r="J17" s="199">
        <v>75471.7</v>
      </c>
      <c r="K17" s="199">
        <v>110264.15</v>
      </c>
    </row>
    <row r="18" spans="1:11">
      <c r="A18" s="200"/>
      <c r="B18" s="198" t="s">
        <v>523</v>
      </c>
      <c r="C18" s="199">
        <v>0</v>
      </c>
      <c r="D18" s="199">
        <v>0</v>
      </c>
      <c r="E18" s="199">
        <v>0</v>
      </c>
      <c r="F18" s="199">
        <v>0</v>
      </c>
      <c r="G18" s="199">
        <v>0</v>
      </c>
      <c r="H18" s="199">
        <v>0</v>
      </c>
      <c r="I18" s="199">
        <v>0</v>
      </c>
      <c r="J18" s="199">
        <v>0</v>
      </c>
      <c r="K18" s="199">
        <v>0</v>
      </c>
    </row>
    <row r="19" spans="1:11">
      <c r="A19" s="200"/>
      <c r="B19" s="198" t="s">
        <v>524</v>
      </c>
      <c r="C19" s="199">
        <v>0</v>
      </c>
      <c r="D19" s="199">
        <v>0</v>
      </c>
      <c r="E19" s="199">
        <v>0</v>
      </c>
      <c r="F19" s="199">
        <v>0</v>
      </c>
      <c r="G19" s="199">
        <v>0</v>
      </c>
      <c r="H19" s="199">
        <v>0</v>
      </c>
      <c r="I19" s="199">
        <v>0</v>
      </c>
      <c r="J19" s="199">
        <v>0</v>
      </c>
      <c r="K19" s="199">
        <v>0</v>
      </c>
    </row>
    <row r="20" spans="1:11">
      <c r="A20" s="201"/>
      <c r="B20" s="198" t="s">
        <v>525</v>
      </c>
      <c r="C20" s="199">
        <v>0</v>
      </c>
      <c r="D20" s="199">
        <v>0</v>
      </c>
      <c r="E20" s="199">
        <v>0</v>
      </c>
      <c r="F20" s="199">
        <v>0</v>
      </c>
      <c r="G20" s="199">
        <v>0</v>
      </c>
      <c r="H20" s="199">
        <v>0</v>
      </c>
      <c r="I20" s="199">
        <v>0</v>
      </c>
      <c r="J20" s="199">
        <v>0</v>
      </c>
      <c r="K20" s="199">
        <v>0</v>
      </c>
    </row>
    <row r="21" spans="1:11">
      <c r="A21" s="202" t="s">
        <v>507</v>
      </c>
      <c r="B21" s="203"/>
      <c r="C21" s="204">
        <f>SUM(C4:C20)</f>
        <v>168952075.64</v>
      </c>
      <c r="D21" s="204">
        <f t="shared" ref="D21:K21" si="0">SUM(D4:D20)</f>
        <v>78841357.12</v>
      </c>
      <c r="E21" s="204">
        <f t="shared" si="0"/>
        <v>100921271.2</v>
      </c>
      <c r="F21" s="204">
        <f t="shared" si="0"/>
        <v>56948620.24</v>
      </c>
      <c r="G21" s="204">
        <f t="shared" si="0"/>
        <v>120034636.04</v>
      </c>
      <c r="H21" s="204">
        <f t="shared" si="0"/>
        <v>13725751.56</v>
      </c>
      <c r="I21" s="204">
        <f t="shared" si="0"/>
        <v>263279942.3</v>
      </c>
      <c r="J21" s="204">
        <f t="shared" si="0"/>
        <v>140512284.51</v>
      </c>
      <c r="K21" s="204">
        <f t="shared" si="0"/>
        <v>943215938.61</v>
      </c>
    </row>
    <row r="22" spans="1:11">
      <c r="A22" s="205" t="s">
        <v>526</v>
      </c>
      <c r="B22" s="198" t="s">
        <v>527</v>
      </c>
      <c r="C22" s="199">
        <v>25129400</v>
      </c>
      <c r="D22" s="199">
        <v>19984300</v>
      </c>
      <c r="E22" s="199">
        <v>20217744.63</v>
      </c>
      <c r="F22" s="199">
        <v>16618000</v>
      </c>
      <c r="G22" s="199">
        <v>26597717.27</v>
      </c>
      <c r="H22" s="199">
        <v>12308500.02</v>
      </c>
      <c r="I22" s="199">
        <v>43672100</v>
      </c>
      <c r="J22" s="199">
        <v>22378400</v>
      </c>
      <c r="K22" s="199">
        <v>178268027.82</v>
      </c>
    </row>
    <row r="23" spans="1:11">
      <c r="A23" s="200"/>
      <c r="B23" s="198" t="s">
        <v>528</v>
      </c>
      <c r="C23" s="199">
        <v>7660571.92</v>
      </c>
      <c r="D23" s="199">
        <v>5555319.45</v>
      </c>
      <c r="E23" s="199">
        <v>3928460.67</v>
      </c>
      <c r="F23" s="199">
        <v>3457912.84</v>
      </c>
      <c r="G23" s="199">
        <v>6814137.99</v>
      </c>
      <c r="H23" s="199">
        <v>2775998.19</v>
      </c>
      <c r="I23" s="199">
        <v>11272241.5</v>
      </c>
      <c r="J23" s="199">
        <v>4700380.3</v>
      </c>
      <c r="K23" s="199">
        <v>43297816.22</v>
      </c>
    </row>
    <row r="24" spans="1:11">
      <c r="A24" s="200"/>
      <c r="B24" s="198" t="s">
        <v>529</v>
      </c>
      <c r="C24" s="199">
        <v>2065906.68</v>
      </c>
      <c r="D24" s="199">
        <v>1619093.36</v>
      </c>
      <c r="E24" s="199">
        <v>1553759.68</v>
      </c>
      <c r="F24" s="199">
        <v>1301612.12</v>
      </c>
      <c r="G24" s="199">
        <v>2002565.48</v>
      </c>
      <c r="H24" s="199">
        <v>848523.94</v>
      </c>
      <c r="I24" s="199">
        <v>3839542.92</v>
      </c>
      <c r="J24" s="199">
        <v>1876665.36</v>
      </c>
      <c r="K24" s="199">
        <v>14288249.34</v>
      </c>
    </row>
    <row r="25" spans="1:11">
      <c r="A25" s="200"/>
      <c r="B25" s="198" t="s">
        <v>530</v>
      </c>
      <c r="C25" s="199">
        <v>2077416.77</v>
      </c>
      <c r="D25" s="199">
        <v>1589158.04</v>
      </c>
      <c r="E25" s="199">
        <v>2016407.14</v>
      </c>
      <c r="F25" s="199">
        <v>1374478.24</v>
      </c>
      <c r="G25" s="199">
        <v>1992452.06</v>
      </c>
      <c r="H25" s="199">
        <v>782361.75</v>
      </c>
      <c r="I25" s="199">
        <v>2915827.54</v>
      </c>
      <c r="J25" s="199">
        <v>1402143.66</v>
      </c>
      <c r="K25" s="199">
        <v>14054621.03</v>
      </c>
    </row>
    <row r="26" spans="1:11">
      <c r="A26" s="200"/>
      <c r="B26" s="198" t="s">
        <v>531</v>
      </c>
      <c r="C26" s="199">
        <v>980587.14</v>
      </c>
      <c r="D26" s="199">
        <v>399685.99</v>
      </c>
      <c r="E26" s="199">
        <v>846565.52</v>
      </c>
      <c r="F26" s="199">
        <v>528636.21</v>
      </c>
      <c r="G26" s="199">
        <v>1082172.81</v>
      </c>
      <c r="H26" s="199">
        <v>362131.73</v>
      </c>
      <c r="I26" s="199">
        <v>1324978.46</v>
      </c>
      <c r="J26" s="199">
        <v>840816.9</v>
      </c>
      <c r="K26" s="199">
        <v>5911956.13</v>
      </c>
    </row>
    <row r="27" spans="1:11">
      <c r="A27" s="200"/>
      <c r="B27" s="198" t="s">
        <v>532</v>
      </c>
      <c r="C27" s="199">
        <v>784889.13</v>
      </c>
      <c r="D27" s="199">
        <v>0</v>
      </c>
      <c r="E27" s="199">
        <v>302660.26</v>
      </c>
      <c r="F27" s="199">
        <v>673859.25</v>
      </c>
      <c r="G27" s="199">
        <v>1552505.25</v>
      </c>
      <c r="H27" s="199">
        <v>0</v>
      </c>
      <c r="I27" s="199">
        <v>0</v>
      </c>
      <c r="J27" s="199">
        <v>636155.5</v>
      </c>
      <c r="K27" s="199">
        <v>3949772.31</v>
      </c>
    </row>
    <row r="28" spans="1:11">
      <c r="A28" s="200"/>
      <c r="B28" s="198" t="s">
        <v>533</v>
      </c>
      <c r="C28" s="199">
        <v>0</v>
      </c>
      <c r="D28" s="199">
        <v>0</v>
      </c>
      <c r="E28" s="199">
        <v>0</v>
      </c>
      <c r="F28" s="199">
        <v>0</v>
      </c>
      <c r="G28" s="199">
        <v>0</v>
      </c>
      <c r="H28" s="199">
        <v>0</v>
      </c>
      <c r="I28" s="199">
        <v>0</v>
      </c>
      <c r="J28" s="199">
        <v>0</v>
      </c>
      <c r="K28" s="199">
        <v>0</v>
      </c>
    </row>
    <row r="29" spans="1:11">
      <c r="A29" s="200"/>
      <c r="B29" s="198" t="s">
        <v>534</v>
      </c>
      <c r="C29" s="199">
        <v>0</v>
      </c>
      <c r="D29" s="199">
        <v>0</v>
      </c>
      <c r="E29" s="199">
        <v>0</v>
      </c>
      <c r="F29" s="199">
        <v>0</v>
      </c>
      <c r="G29" s="199">
        <v>0</v>
      </c>
      <c r="H29" s="199">
        <v>0</v>
      </c>
      <c r="I29" s="199">
        <v>0</v>
      </c>
      <c r="J29" s="199">
        <v>0</v>
      </c>
      <c r="K29" s="199">
        <v>0</v>
      </c>
    </row>
    <row r="30" spans="1:11">
      <c r="A30" s="201"/>
      <c r="B30" s="198" t="s">
        <v>535</v>
      </c>
      <c r="C30" s="199">
        <v>117309.11</v>
      </c>
      <c r="D30" s="199">
        <v>187348.33</v>
      </c>
      <c r="E30" s="199">
        <v>280153.92</v>
      </c>
      <c r="F30" s="199">
        <v>136469.2</v>
      </c>
      <c r="G30" s="199">
        <v>307351.28</v>
      </c>
      <c r="H30" s="199">
        <v>88977.85</v>
      </c>
      <c r="I30" s="199">
        <v>233333.23</v>
      </c>
      <c r="J30" s="199">
        <v>165817.21</v>
      </c>
      <c r="K30" s="199">
        <v>1516760.13</v>
      </c>
    </row>
    <row r="31" ht="17.5" spans="1:11">
      <c r="A31" s="202" t="s">
        <v>507</v>
      </c>
      <c r="B31" s="203"/>
      <c r="C31" s="206">
        <v>38816080.75</v>
      </c>
      <c r="D31" s="204">
        <f t="shared" ref="D31:K31" si="1">SUM(D22:D30)</f>
        <v>29334905.17</v>
      </c>
      <c r="E31" s="204">
        <f t="shared" si="1"/>
        <v>29145751.82</v>
      </c>
      <c r="F31" s="204">
        <f t="shared" si="1"/>
        <v>24090967.86</v>
      </c>
      <c r="G31" s="204">
        <f t="shared" si="1"/>
        <v>40348902.14</v>
      </c>
      <c r="H31" s="204">
        <f t="shared" si="1"/>
        <v>17166493.48</v>
      </c>
      <c r="I31" s="204">
        <f t="shared" si="1"/>
        <v>63258023.65</v>
      </c>
      <c r="J31" s="204">
        <f t="shared" si="1"/>
        <v>32000378.93</v>
      </c>
      <c r="K31" s="204">
        <f t="shared" si="1"/>
        <v>261287202.98</v>
      </c>
    </row>
    <row r="32" ht="17.5" spans="1:11">
      <c r="A32" s="202" t="s">
        <v>536</v>
      </c>
      <c r="B32" s="203"/>
      <c r="C32" s="207">
        <v>13655713</v>
      </c>
      <c r="D32" s="207">
        <v>10656388</v>
      </c>
      <c r="E32" s="207">
        <v>16737579</v>
      </c>
      <c r="F32" s="207">
        <v>7638208</v>
      </c>
      <c r="G32" s="207">
        <v>16672998</v>
      </c>
      <c r="H32" s="207">
        <v>3491429</v>
      </c>
      <c r="I32" s="207">
        <v>39410663</v>
      </c>
      <c r="J32" s="207">
        <v>7428258</v>
      </c>
      <c r="K32" s="204">
        <f>SUM(K23:K31)</f>
        <v>344306378.14</v>
      </c>
    </row>
    <row r="33" spans="1:11">
      <c r="A33" s="202" t="s">
        <v>537</v>
      </c>
      <c r="B33" s="203"/>
      <c r="C33" s="204">
        <f t="shared" ref="C33:J33" si="2">C31-C32</f>
        <v>25160367.75</v>
      </c>
      <c r="D33" s="204">
        <f t="shared" si="2"/>
        <v>18678517.17</v>
      </c>
      <c r="E33" s="204">
        <f t="shared" si="2"/>
        <v>12408172.82</v>
      </c>
      <c r="F33" s="204">
        <f t="shared" si="2"/>
        <v>16452759.86</v>
      </c>
      <c r="G33" s="204">
        <f t="shared" si="2"/>
        <v>23675904.14</v>
      </c>
      <c r="H33" s="204">
        <f t="shared" si="2"/>
        <v>13675064.48</v>
      </c>
      <c r="I33" s="204">
        <f t="shared" si="2"/>
        <v>23847360.65</v>
      </c>
      <c r="J33" s="204">
        <f t="shared" si="2"/>
        <v>24572120.93</v>
      </c>
      <c r="K33" s="204">
        <f>SUM(K24:K32)</f>
        <v>645314940.06</v>
      </c>
    </row>
    <row r="34" spans="1:11">
      <c r="A34" s="197" t="s">
        <v>538</v>
      </c>
      <c r="B34" s="198" t="s">
        <v>539</v>
      </c>
      <c r="C34" s="199">
        <v>90920.12</v>
      </c>
      <c r="D34" s="199">
        <v>26036.01</v>
      </c>
      <c r="E34" s="199">
        <v>251281.55</v>
      </c>
      <c r="F34" s="199">
        <v>291868.04</v>
      </c>
      <c r="G34" s="199">
        <v>130175.65</v>
      </c>
      <c r="H34" s="199">
        <v>27570.01</v>
      </c>
      <c r="I34" s="199">
        <v>279097.45</v>
      </c>
      <c r="J34" s="199">
        <v>89258.89</v>
      </c>
      <c r="K34" s="199">
        <v>1186207.72</v>
      </c>
    </row>
    <row r="35" spans="1:11">
      <c r="A35" s="200"/>
      <c r="B35" s="198" t="s">
        <v>540</v>
      </c>
      <c r="C35" s="199">
        <v>0</v>
      </c>
      <c r="D35" s="199">
        <v>0</v>
      </c>
      <c r="E35" s="199">
        <v>886792.5</v>
      </c>
      <c r="F35" s="199">
        <v>0</v>
      </c>
      <c r="G35" s="199">
        <v>0</v>
      </c>
      <c r="H35" s="199">
        <v>0</v>
      </c>
      <c r="I35" s="199">
        <v>0</v>
      </c>
      <c r="J35" s="199">
        <v>0</v>
      </c>
      <c r="K35" s="199">
        <v>886792.5</v>
      </c>
    </row>
    <row r="36" spans="1:11">
      <c r="A36" s="200"/>
      <c r="B36" s="198" t="s">
        <v>541</v>
      </c>
      <c r="C36" s="199">
        <v>391452.8</v>
      </c>
      <c r="D36" s="199">
        <v>288134.99</v>
      </c>
      <c r="E36" s="199">
        <v>258061.69</v>
      </c>
      <c r="F36" s="199">
        <v>328968.05</v>
      </c>
      <c r="G36" s="199">
        <v>323911.95</v>
      </c>
      <c r="H36" s="199">
        <v>97357.16</v>
      </c>
      <c r="I36" s="199">
        <v>376855.87</v>
      </c>
      <c r="J36" s="199">
        <v>225729.84</v>
      </c>
      <c r="K36" s="199">
        <v>2290472.35</v>
      </c>
    </row>
    <row r="37" spans="1:11">
      <c r="A37" s="200"/>
      <c r="B37" s="198" t="s">
        <v>542</v>
      </c>
      <c r="C37" s="199">
        <v>1546726.08</v>
      </c>
      <c r="D37" s="199">
        <v>1159389.29</v>
      </c>
      <c r="E37" s="199">
        <v>957258.07</v>
      </c>
      <c r="F37" s="199">
        <v>944046.24</v>
      </c>
      <c r="G37" s="199">
        <v>1469897.7</v>
      </c>
      <c r="H37" s="199">
        <v>649412.21</v>
      </c>
      <c r="I37" s="199">
        <v>1918065</v>
      </c>
      <c r="J37" s="199">
        <v>1678644.08</v>
      </c>
      <c r="K37" s="199">
        <v>10323438.67</v>
      </c>
    </row>
    <row r="38" spans="1:11">
      <c r="A38" s="200"/>
      <c r="B38" s="198" t="s">
        <v>543</v>
      </c>
      <c r="C38" s="199">
        <v>17106.91</v>
      </c>
      <c r="D38" s="199">
        <v>0</v>
      </c>
      <c r="E38" s="199">
        <v>12409.33</v>
      </c>
      <c r="F38" s="199">
        <v>6796.12</v>
      </c>
      <c r="G38" s="199">
        <v>13592.24</v>
      </c>
      <c r="H38" s="199">
        <v>9348.54</v>
      </c>
      <c r="I38" s="199">
        <v>25586.51</v>
      </c>
      <c r="J38" s="199">
        <v>39021.34</v>
      </c>
      <c r="K38" s="199">
        <v>123860.99</v>
      </c>
    </row>
    <row r="39" spans="1:11">
      <c r="A39" s="200"/>
      <c r="B39" s="198" t="s">
        <v>544</v>
      </c>
      <c r="C39" s="199">
        <v>0</v>
      </c>
      <c r="D39" s="199">
        <v>0</v>
      </c>
      <c r="E39" s="199">
        <v>0</v>
      </c>
      <c r="F39" s="199">
        <v>0</v>
      </c>
      <c r="G39" s="199">
        <v>0</v>
      </c>
      <c r="H39" s="199">
        <v>0</v>
      </c>
      <c r="I39" s="199">
        <v>0</v>
      </c>
      <c r="J39" s="199">
        <v>0</v>
      </c>
      <c r="K39" s="199">
        <v>0</v>
      </c>
    </row>
    <row r="40" spans="1:11">
      <c r="A40" s="200"/>
      <c r="B40" s="198" t="s">
        <v>545</v>
      </c>
      <c r="C40" s="199">
        <v>0</v>
      </c>
      <c r="D40" s="199">
        <v>66652.23</v>
      </c>
      <c r="E40" s="199">
        <v>0</v>
      </c>
      <c r="F40" s="199">
        <v>0</v>
      </c>
      <c r="G40" s="199">
        <v>0</v>
      </c>
      <c r="H40" s="199">
        <v>0</v>
      </c>
      <c r="I40" s="199">
        <v>0</v>
      </c>
      <c r="J40" s="199">
        <v>0</v>
      </c>
      <c r="K40" s="199">
        <v>66652.23</v>
      </c>
    </row>
    <row r="41" spans="1:11">
      <c r="A41" s="200"/>
      <c r="B41" s="198" t="s">
        <v>546</v>
      </c>
      <c r="C41" s="199">
        <v>681236.47</v>
      </c>
      <c r="D41" s="199">
        <v>289413.55</v>
      </c>
      <c r="E41" s="199">
        <v>487603.03</v>
      </c>
      <c r="F41" s="199">
        <v>231588.76</v>
      </c>
      <c r="G41" s="199">
        <v>592323.82</v>
      </c>
      <c r="H41" s="199">
        <v>164542.84</v>
      </c>
      <c r="I41" s="199">
        <v>521489.19</v>
      </c>
      <c r="J41" s="199">
        <v>195501.48</v>
      </c>
      <c r="K41" s="199">
        <v>3163699.14</v>
      </c>
    </row>
    <row r="42" spans="1:11">
      <c r="A42" s="200"/>
      <c r="B42" s="198" t="s">
        <v>547</v>
      </c>
      <c r="C42" s="199">
        <v>64588.01</v>
      </c>
      <c r="D42" s="199">
        <v>61971.72</v>
      </c>
      <c r="E42" s="199">
        <v>1022628.81</v>
      </c>
      <c r="F42" s="199">
        <v>254595.75</v>
      </c>
      <c r="G42" s="199">
        <v>102523.07</v>
      </c>
      <c r="H42" s="199">
        <v>184511.2</v>
      </c>
      <c r="I42" s="199">
        <v>0</v>
      </c>
      <c r="J42" s="199">
        <v>641116.11</v>
      </c>
      <c r="K42" s="199">
        <v>2331934.67</v>
      </c>
    </row>
    <row r="43" spans="1:11">
      <c r="A43" s="200"/>
      <c r="B43" s="198" t="s">
        <v>548</v>
      </c>
      <c r="C43" s="199">
        <v>0</v>
      </c>
      <c r="D43" s="199">
        <v>0</v>
      </c>
      <c r="E43" s="199">
        <v>0</v>
      </c>
      <c r="F43" s="199">
        <v>0</v>
      </c>
      <c r="G43" s="199">
        <v>0</v>
      </c>
      <c r="H43" s="199">
        <v>0</v>
      </c>
      <c r="I43" s="199">
        <v>0</v>
      </c>
      <c r="J43" s="199">
        <v>0</v>
      </c>
      <c r="K43" s="199">
        <v>0</v>
      </c>
    </row>
    <row r="44" spans="1:11">
      <c r="A44" s="200"/>
      <c r="B44" s="198" t="s">
        <v>549</v>
      </c>
      <c r="C44" s="199">
        <v>80276.05</v>
      </c>
      <c r="D44" s="199">
        <v>56706.51</v>
      </c>
      <c r="E44" s="199">
        <v>15000</v>
      </c>
      <c r="F44" s="199">
        <v>59154.73</v>
      </c>
      <c r="G44" s="199">
        <v>93941.5</v>
      </c>
      <c r="H44" s="199">
        <v>44903.88</v>
      </c>
      <c r="I44" s="199">
        <v>283857</v>
      </c>
      <c r="J44" s="199">
        <v>82012.69</v>
      </c>
      <c r="K44" s="199">
        <v>715852.36</v>
      </c>
    </row>
    <row r="45" spans="1:11">
      <c r="A45" s="200"/>
      <c r="B45" s="198" t="s">
        <v>550</v>
      </c>
      <c r="C45" s="199">
        <v>0</v>
      </c>
      <c r="D45" s="199">
        <v>9885.84</v>
      </c>
      <c r="E45" s="199">
        <v>0</v>
      </c>
      <c r="F45" s="199">
        <v>20800</v>
      </c>
      <c r="G45" s="199">
        <v>8666.99</v>
      </c>
      <c r="H45" s="199">
        <v>1188.35</v>
      </c>
      <c r="I45" s="199">
        <v>13097.05</v>
      </c>
      <c r="J45" s="199">
        <v>16200</v>
      </c>
      <c r="K45" s="199">
        <v>69838.23</v>
      </c>
    </row>
    <row r="46" spans="1:11">
      <c r="A46" s="200"/>
      <c r="B46" s="198" t="s">
        <v>551</v>
      </c>
      <c r="C46" s="199">
        <v>0</v>
      </c>
      <c r="D46" s="199">
        <v>0</v>
      </c>
      <c r="E46" s="199">
        <v>0</v>
      </c>
      <c r="F46" s="199">
        <v>0</v>
      </c>
      <c r="G46" s="199">
        <v>0</v>
      </c>
      <c r="H46" s="199">
        <v>0</v>
      </c>
      <c r="I46" s="199">
        <v>0</v>
      </c>
      <c r="J46" s="199">
        <v>0</v>
      </c>
      <c r="K46" s="199">
        <v>0</v>
      </c>
    </row>
    <row r="47" spans="1:11">
      <c r="A47" s="200"/>
      <c r="B47" s="198" t="s">
        <v>552</v>
      </c>
      <c r="C47" s="199">
        <v>35775.75</v>
      </c>
      <c r="D47" s="199">
        <v>21384.41</v>
      </c>
      <c r="E47" s="199">
        <v>34959.07</v>
      </c>
      <c r="F47" s="199">
        <v>0</v>
      </c>
      <c r="G47" s="199">
        <v>120398.38</v>
      </c>
      <c r="H47" s="199">
        <v>0</v>
      </c>
      <c r="I47" s="199">
        <v>0</v>
      </c>
      <c r="J47" s="199">
        <v>0</v>
      </c>
      <c r="K47" s="199">
        <v>212517.61</v>
      </c>
    </row>
    <row r="48" spans="1:11">
      <c r="A48" s="200"/>
      <c r="B48" s="198" t="s">
        <v>553</v>
      </c>
      <c r="C48" s="199">
        <v>1814593.63</v>
      </c>
      <c r="D48" s="199">
        <v>2920614.08</v>
      </c>
      <c r="E48" s="199">
        <v>1410860.1</v>
      </c>
      <c r="F48" s="199">
        <v>1365231.76</v>
      </c>
      <c r="G48" s="199">
        <v>387537.92</v>
      </c>
      <c r="H48" s="199">
        <v>1045917.65</v>
      </c>
      <c r="I48" s="199">
        <v>3272444.8</v>
      </c>
      <c r="J48" s="199">
        <v>283018.87</v>
      </c>
      <c r="K48" s="199">
        <v>12500218.81</v>
      </c>
    </row>
    <row r="49" spans="1:11">
      <c r="A49" s="200"/>
      <c r="B49" s="198" t="s">
        <v>554</v>
      </c>
      <c r="C49" s="199">
        <v>417576.4</v>
      </c>
      <c r="D49" s="199">
        <v>0</v>
      </c>
      <c r="E49" s="199">
        <v>22467.96</v>
      </c>
      <c r="F49" s="199">
        <v>97087.38</v>
      </c>
      <c r="G49" s="199">
        <v>0</v>
      </c>
      <c r="H49" s="199">
        <v>8737.86</v>
      </c>
      <c r="I49" s="199">
        <v>2738360.63</v>
      </c>
      <c r="J49" s="199">
        <v>787376.05</v>
      </c>
      <c r="K49" s="199">
        <v>4071606.28</v>
      </c>
    </row>
    <row r="50" spans="1:11">
      <c r="A50" s="200"/>
      <c r="B50" s="198" t="s">
        <v>555</v>
      </c>
      <c r="C50" s="199">
        <v>2658737.46</v>
      </c>
      <c r="D50" s="199">
        <v>1006042.57</v>
      </c>
      <c r="E50" s="199">
        <v>1447597.56</v>
      </c>
      <c r="F50" s="199">
        <v>2715518.92</v>
      </c>
      <c r="G50" s="199">
        <v>2141410.46</v>
      </c>
      <c r="H50" s="199">
        <v>2109166.18</v>
      </c>
      <c r="I50" s="199">
        <v>2327696.49</v>
      </c>
      <c r="J50" s="199">
        <v>3503361.71</v>
      </c>
      <c r="K50" s="199">
        <v>17909531.35</v>
      </c>
    </row>
    <row r="51" spans="1:11">
      <c r="A51" s="200"/>
      <c r="B51" s="198" t="s">
        <v>556</v>
      </c>
      <c r="C51" s="199">
        <v>0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199">
        <v>21753</v>
      </c>
      <c r="J51" s="199">
        <v>0</v>
      </c>
      <c r="K51" s="199">
        <v>21753</v>
      </c>
    </row>
    <row r="52" spans="1:11">
      <c r="A52" s="200"/>
      <c r="B52" s="198" t="s">
        <v>557</v>
      </c>
      <c r="C52" s="199">
        <v>0</v>
      </c>
      <c r="D52" s="199">
        <v>0</v>
      </c>
      <c r="E52" s="199">
        <v>0</v>
      </c>
      <c r="F52" s="199">
        <v>0</v>
      </c>
      <c r="G52" s="199">
        <v>0</v>
      </c>
      <c r="H52" s="199">
        <v>0</v>
      </c>
      <c r="I52" s="199">
        <v>0</v>
      </c>
      <c r="J52" s="199">
        <v>0</v>
      </c>
      <c r="K52" s="199">
        <v>0</v>
      </c>
    </row>
    <row r="53" spans="1:11">
      <c r="A53" s="200"/>
      <c r="B53" s="198" t="s">
        <v>558</v>
      </c>
      <c r="C53" s="199">
        <v>0</v>
      </c>
      <c r="D53" s="199">
        <v>0</v>
      </c>
      <c r="E53" s="199">
        <v>0</v>
      </c>
      <c r="F53" s="199">
        <v>0</v>
      </c>
      <c r="G53" s="199">
        <v>0</v>
      </c>
      <c r="H53" s="199">
        <v>0</v>
      </c>
      <c r="I53" s="199">
        <v>0</v>
      </c>
      <c r="J53" s="199">
        <v>1500</v>
      </c>
      <c r="K53" s="199">
        <v>1500</v>
      </c>
    </row>
    <row r="54" spans="1:11">
      <c r="A54" s="200"/>
      <c r="B54" s="198" t="s">
        <v>559</v>
      </c>
      <c r="C54" s="199">
        <v>0</v>
      </c>
      <c r="D54" s="199">
        <v>588730.43</v>
      </c>
      <c r="E54" s="199">
        <v>2000</v>
      </c>
      <c r="F54" s="199">
        <v>0</v>
      </c>
      <c r="G54" s="199">
        <v>0</v>
      </c>
      <c r="H54" s="199">
        <v>0</v>
      </c>
      <c r="I54" s="199">
        <v>0</v>
      </c>
      <c r="J54" s="199">
        <v>0</v>
      </c>
      <c r="K54" s="199">
        <v>590730.43</v>
      </c>
    </row>
    <row r="55" spans="1:11">
      <c r="A55" s="200"/>
      <c r="B55" s="198" t="s">
        <v>560</v>
      </c>
      <c r="C55" s="199">
        <v>0</v>
      </c>
      <c r="D55" s="199">
        <v>0</v>
      </c>
      <c r="E55" s="199">
        <v>0</v>
      </c>
      <c r="F55" s="199">
        <v>0</v>
      </c>
      <c r="G55" s="199">
        <v>0</v>
      </c>
      <c r="H55" s="199">
        <v>0</v>
      </c>
      <c r="I55" s="199">
        <v>0</v>
      </c>
      <c r="J55" s="199">
        <v>0</v>
      </c>
      <c r="K55" s="199">
        <v>0</v>
      </c>
    </row>
    <row r="56" spans="1:11">
      <c r="A56" s="200"/>
      <c r="B56" s="198" t="s">
        <v>561</v>
      </c>
      <c r="C56" s="199">
        <v>0</v>
      </c>
      <c r="D56" s="199">
        <v>0</v>
      </c>
      <c r="E56" s="199">
        <v>0</v>
      </c>
      <c r="F56" s="199">
        <v>0</v>
      </c>
      <c r="G56" s="199">
        <v>0</v>
      </c>
      <c r="H56" s="199">
        <v>0</v>
      </c>
      <c r="I56" s="199">
        <v>0</v>
      </c>
      <c r="J56" s="199">
        <v>30000</v>
      </c>
      <c r="K56" s="199">
        <v>30000</v>
      </c>
    </row>
    <row r="57" spans="1:11">
      <c r="A57" s="200"/>
      <c r="B57" s="198" t="s">
        <v>562</v>
      </c>
      <c r="C57" s="199">
        <v>79061.31</v>
      </c>
      <c r="D57" s="199">
        <v>208659.21</v>
      </c>
      <c r="E57" s="199">
        <v>201013.08</v>
      </c>
      <c r="F57" s="199">
        <v>65624.11</v>
      </c>
      <c r="G57" s="199">
        <v>289110.69</v>
      </c>
      <c r="H57" s="199">
        <v>1200000</v>
      </c>
      <c r="I57" s="199">
        <v>168294.13</v>
      </c>
      <c r="J57" s="199">
        <v>483982.28</v>
      </c>
      <c r="K57" s="199">
        <v>2695744.81</v>
      </c>
    </row>
    <row r="58" spans="1:11">
      <c r="A58" s="200"/>
      <c r="B58" s="198" t="s">
        <v>563</v>
      </c>
      <c r="C58" s="199">
        <v>-200000</v>
      </c>
      <c r="D58" s="199">
        <v>0</v>
      </c>
      <c r="E58" s="199">
        <v>0</v>
      </c>
      <c r="F58" s="199">
        <v>0</v>
      </c>
      <c r="G58" s="199">
        <v>0</v>
      </c>
      <c r="H58" s="199">
        <v>0</v>
      </c>
      <c r="I58" s="199">
        <v>0</v>
      </c>
      <c r="J58" s="199">
        <v>0</v>
      </c>
      <c r="K58" s="199">
        <v>-200000</v>
      </c>
    </row>
    <row r="59" spans="1:11">
      <c r="A59" s="200"/>
      <c r="B59" s="198" t="s">
        <v>564</v>
      </c>
      <c r="C59" s="199">
        <v>128436.65</v>
      </c>
      <c r="D59" s="199">
        <v>195028.99</v>
      </c>
      <c r="E59" s="199">
        <v>165270.5</v>
      </c>
      <c r="F59" s="199">
        <v>157635.11</v>
      </c>
      <c r="G59" s="199">
        <v>255189</v>
      </c>
      <c r="H59" s="199">
        <v>108521.03</v>
      </c>
      <c r="I59" s="199">
        <v>287163.91</v>
      </c>
      <c r="J59" s="199">
        <v>231648.23</v>
      </c>
      <c r="K59" s="199">
        <v>1528893.42</v>
      </c>
    </row>
    <row r="60" spans="1:11">
      <c r="A60" s="200"/>
      <c r="B60" s="198" t="s">
        <v>565</v>
      </c>
      <c r="C60" s="199">
        <v>11023.44</v>
      </c>
      <c r="D60" s="199">
        <v>5100</v>
      </c>
      <c r="E60" s="199">
        <v>0</v>
      </c>
      <c r="F60" s="199">
        <v>0</v>
      </c>
      <c r="G60" s="199">
        <v>0</v>
      </c>
      <c r="H60" s="199">
        <v>16641.51</v>
      </c>
      <c r="I60" s="199">
        <v>46407.76</v>
      </c>
      <c r="J60" s="199">
        <v>48009.9</v>
      </c>
      <c r="K60" s="199">
        <v>127182.61</v>
      </c>
    </row>
    <row r="61" spans="1:11">
      <c r="A61" s="201"/>
      <c r="B61" s="198" t="s">
        <v>17</v>
      </c>
      <c r="C61" s="199">
        <v>1652523.14</v>
      </c>
      <c r="D61" s="199">
        <v>0</v>
      </c>
      <c r="E61" s="199">
        <v>0</v>
      </c>
      <c r="F61" s="199">
        <v>0</v>
      </c>
      <c r="G61" s="199">
        <v>318438.58</v>
      </c>
      <c r="H61" s="199">
        <v>487658.39</v>
      </c>
      <c r="I61" s="199">
        <v>5369378.19</v>
      </c>
      <c r="J61" s="199">
        <v>568536.34</v>
      </c>
      <c r="K61" s="199">
        <v>8396534.64</v>
      </c>
    </row>
    <row r="62" spans="1:11">
      <c r="A62" s="202" t="s">
        <v>507</v>
      </c>
      <c r="B62" s="203"/>
      <c r="C62" s="204">
        <f>SUM(C34:C61)</f>
        <v>9470034.22</v>
      </c>
      <c r="D62" s="204">
        <f t="shared" ref="D62:K62" si="3">SUM(D34:D61)</f>
        <v>6903749.83</v>
      </c>
      <c r="E62" s="204">
        <f t="shared" si="3"/>
        <v>7175203.25</v>
      </c>
      <c r="F62" s="204">
        <f t="shared" si="3"/>
        <v>6538914.97</v>
      </c>
      <c r="G62" s="204">
        <f t="shared" si="3"/>
        <v>6247117.95</v>
      </c>
      <c r="H62" s="204">
        <f t="shared" si="3"/>
        <v>6155476.81</v>
      </c>
      <c r="I62" s="204">
        <f t="shared" si="3"/>
        <v>17649546.98</v>
      </c>
      <c r="J62" s="204">
        <f t="shared" si="3"/>
        <v>8904917.81</v>
      </c>
      <c r="K62" s="204">
        <f t="shared" si="3"/>
        <v>69044961.82</v>
      </c>
    </row>
    <row r="63" spans="1:11">
      <c r="A63" s="208" t="s">
        <v>566</v>
      </c>
      <c r="B63" s="209"/>
      <c r="C63" s="210">
        <f>C62+C31+C21</f>
        <v>217238190.61</v>
      </c>
      <c r="D63" s="210">
        <f t="shared" ref="D63:K63" si="4">D62+D31+D21</f>
        <v>115080012.12</v>
      </c>
      <c r="E63" s="210">
        <f t="shared" si="4"/>
        <v>137242226.27</v>
      </c>
      <c r="F63" s="210">
        <f t="shared" si="4"/>
        <v>87578503.07</v>
      </c>
      <c r="G63" s="210">
        <f t="shared" si="4"/>
        <v>166630656.13</v>
      </c>
      <c r="H63" s="210">
        <f t="shared" si="4"/>
        <v>37047721.85</v>
      </c>
      <c r="I63" s="210">
        <f t="shared" si="4"/>
        <v>344187512.93</v>
      </c>
      <c r="J63" s="210">
        <f t="shared" si="4"/>
        <v>181417581.25</v>
      </c>
      <c r="K63" s="210">
        <f t="shared" si="4"/>
        <v>1273548103.41</v>
      </c>
    </row>
    <row r="64" spans="1:11">
      <c r="A64" s="211" t="s">
        <v>567</v>
      </c>
      <c r="B64" s="212"/>
      <c r="C64" s="213">
        <f t="shared" ref="C64:K64" si="5">C33+C62</f>
        <v>34630401.97</v>
      </c>
      <c r="D64" s="213">
        <f t="shared" si="5"/>
        <v>25582267</v>
      </c>
      <c r="E64" s="213">
        <f t="shared" si="5"/>
        <v>19583376.07</v>
      </c>
      <c r="F64" s="213">
        <f t="shared" si="5"/>
        <v>22991674.83</v>
      </c>
      <c r="G64" s="213">
        <f t="shared" si="5"/>
        <v>29923022.09</v>
      </c>
      <c r="H64" s="213">
        <f t="shared" si="5"/>
        <v>19830541.29</v>
      </c>
      <c r="I64" s="213">
        <f t="shared" si="5"/>
        <v>41496907.63</v>
      </c>
      <c r="J64" s="213">
        <f t="shared" si="5"/>
        <v>33477038.74</v>
      </c>
      <c r="K64" s="213">
        <f t="shared" si="5"/>
        <v>714359901.88</v>
      </c>
    </row>
    <row r="65" spans="1:11">
      <c r="A65" s="214" t="s">
        <v>568</v>
      </c>
      <c r="B65" s="215"/>
      <c r="C65" s="216">
        <v>43.7</v>
      </c>
      <c r="D65" s="216">
        <v>24.75</v>
      </c>
      <c r="E65" s="216">
        <v>29.8</v>
      </c>
      <c r="F65" s="216">
        <v>14.7</v>
      </c>
      <c r="G65" s="216">
        <v>27.85</v>
      </c>
      <c r="H65" s="216">
        <v>5</v>
      </c>
      <c r="I65" s="216">
        <v>96</v>
      </c>
      <c r="J65" s="216">
        <v>20</v>
      </c>
      <c r="K65" s="217">
        <f>SUM(C65:J65)</f>
        <v>261.8</v>
      </c>
    </row>
    <row r="66" spans="1:11">
      <c r="A66" s="218" t="s">
        <v>569</v>
      </c>
      <c r="B66" s="219"/>
      <c r="C66" s="220">
        <v>20</v>
      </c>
      <c r="D66" s="220"/>
      <c r="E66" s="220"/>
      <c r="F66" s="220">
        <v>6</v>
      </c>
      <c r="G66" s="220">
        <v>14.85</v>
      </c>
      <c r="H66" s="220">
        <v>10</v>
      </c>
      <c r="I66" s="220">
        <v>20</v>
      </c>
      <c r="J66" s="220">
        <v>20</v>
      </c>
      <c r="K66" s="220">
        <f>SUM(C66:J66)</f>
        <v>90.85</v>
      </c>
    </row>
    <row r="73" spans="1:11">
      <c r="C73" s="221" t="s">
        <v>570</v>
      </c>
      <c r="D73" s="221">
        <f>IF(C74="甘肃公司",1,IF(C74="新疆公司",2,IF(C74="河北公司",3,IF(C74="陕西公司",4,IF(C74="内蒙公司",5,IF(C74="山东公司",6,IF(C74="青海公司",7,IF(C74="江苏公司",8,0))))))))</f>
        <v>0</v>
      </c>
    </row>
    <row r="74" spans="1:11">
      <c r="B74" s="222" t="s">
        <v>571</v>
      </c>
      <c r="C74" s="222">
        <f>输入参数!E21</f>
        <v>0</v>
      </c>
    </row>
    <row r="75" spans="1:11">
      <c r="B75" s="222" t="s">
        <v>572</v>
      </c>
      <c r="C75" s="222">
        <f>输入参数!E31</f>
        <v>0</v>
      </c>
    </row>
    <row r="76" spans="1:11">
      <c r="B76" s="222" t="s">
        <v>573</v>
      </c>
      <c r="C76" s="222">
        <f>输入参数!E17</f>
        <v>10</v>
      </c>
    </row>
    <row r="77" spans="1:11">
      <c r="B77" s="189" t="s">
        <v>574</v>
      </c>
      <c r="C77" s="189">
        <f>C76/(C76+C75)</f>
        <v>1</v>
      </c>
    </row>
    <row r="78" spans="1:11">
      <c r="B78" s="189" t="s">
        <v>575</v>
      </c>
      <c r="C78" s="189">
        <f>IF(D73=1,C77*C64,IF(D73=2,C77*D64,IF(D73=3,C77*E64,IF(D73=4,C77*F64,IF(D73=5,C77*G64,IF(D73=6,C77*H64,IF(D73=7,C77*I64,IF(D73=8,C77*J64,0))))))))/10000</f>
        <v>0</v>
      </c>
    </row>
  </sheetData>
  <mergeCells count="16">
    <mergeCell ref="A1:K1"/>
    <mergeCell ref="A21:B21"/>
    <mergeCell ref="A31:B31"/>
    <mergeCell ref="A32:B32"/>
    <mergeCell ref="A33:B33"/>
    <mergeCell ref="A62:B62"/>
    <mergeCell ref="A63:B63"/>
    <mergeCell ref="A64:B64"/>
    <mergeCell ref="A65:B65"/>
    <mergeCell ref="A66:B66"/>
    <mergeCell ref="A2:A3"/>
    <mergeCell ref="A4:A20"/>
    <mergeCell ref="A22:A30"/>
    <mergeCell ref="A34:A61"/>
    <mergeCell ref="B2:B3"/>
    <mergeCell ref="K2:K3"/>
  </mergeCells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B1:H12"/>
  <sheetViews>
    <sheetView workbookViewId="0">
      <selection activeCell="J17" sqref="J17"/>
    </sheetView>
  </sheetViews>
  <sheetFormatPr defaultColWidth="8.75" defaultRowHeight="15" outlineLevelCol="7"/>
  <cols>
    <col min="1" max="16384" width="8.75" style="177"/>
  </cols>
  <sheetData>
    <row r="1" ht="15.75"/>
    <row r="2" ht="28.15" customHeight="1" spans="2:8">
      <c r="B2" s="178" t="s">
        <v>2</v>
      </c>
      <c r="C2" s="179" t="s">
        <v>576</v>
      </c>
      <c r="D2" s="179" t="s">
        <v>577</v>
      </c>
      <c r="E2" s="180" t="s">
        <v>578</v>
      </c>
      <c r="F2" s="181"/>
    </row>
    <row r="3" ht="15.75" spans="2:8">
      <c r="B3" s="182"/>
      <c r="C3" s="183"/>
      <c r="D3" s="183"/>
      <c r="E3" s="184" t="s">
        <v>115</v>
      </c>
      <c r="F3" s="184" t="s">
        <v>579</v>
      </c>
    </row>
    <row r="4" ht="15.75" spans="2:8">
      <c r="B4" s="185">
        <v>1</v>
      </c>
      <c r="C4" s="186" t="s">
        <v>580</v>
      </c>
      <c r="D4" s="187">
        <v>40</v>
      </c>
      <c r="E4" s="187">
        <v>1366</v>
      </c>
      <c r="F4" s="187">
        <v>34</v>
      </c>
    </row>
    <row r="5" ht="15.75" spans="2:8">
      <c r="B5" s="185">
        <v>2</v>
      </c>
      <c r="C5" s="186" t="s">
        <v>581</v>
      </c>
      <c r="D5" s="187">
        <v>30</v>
      </c>
      <c r="E5" s="187">
        <v>1066</v>
      </c>
      <c r="F5" s="187">
        <v>36</v>
      </c>
    </row>
    <row r="6" ht="15.75" spans="2:8">
      <c r="B6" s="185">
        <v>3</v>
      </c>
      <c r="C6" s="186" t="s">
        <v>582</v>
      </c>
      <c r="D6" s="187">
        <v>64</v>
      </c>
      <c r="E6" s="187">
        <v>1674</v>
      </c>
      <c r="F6" s="187">
        <v>26</v>
      </c>
    </row>
    <row r="7" ht="15.75" spans="2:8">
      <c r="B7" s="185">
        <v>4</v>
      </c>
      <c r="C7" s="186" t="s">
        <v>583</v>
      </c>
      <c r="D7" s="187">
        <v>24</v>
      </c>
      <c r="E7" s="187">
        <v>764</v>
      </c>
      <c r="F7" s="187">
        <v>32</v>
      </c>
    </row>
    <row r="8" ht="15.75" spans="2:8">
      <c r="B8" s="185">
        <v>5</v>
      </c>
      <c r="C8" s="186" t="s">
        <v>584</v>
      </c>
      <c r="D8" s="187">
        <v>49</v>
      </c>
      <c r="E8" s="187">
        <v>1667</v>
      </c>
      <c r="F8" s="187">
        <v>34</v>
      </c>
    </row>
    <row r="9" ht="15.75" spans="2:8">
      <c r="B9" s="185">
        <v>6</v>
      </c>
      <c r="C9" s="186" t="s">
        <v>585</v>
      </c>
      <c r="D9" s="187">
        <v>10</v>
      </c>
      <c r="E9" s="187">
        <v>349</v>
      </c>
      <c r="F9" s="187">
        <v>35</v>
      </c>
    </row>
    <row r="10" ht="15.75" spans="2:8">
      <c r="B10" s="185">
        <v>7</v>
      </c>
      <c r="C10" s="186" t="s">
        <v>586</v>
      </c>
      <c r="D10" s="187">
        <v>111</v>
      </c>
      <c r="E10" s="187">
        <v>3941</v>
      </c>
      <c r="F10" s="187">
        <v>36</v>
      </c>
    </row>
    <row r="11" ht="15.75" spans="2:8">
      <c r="B11" s="185">
        <v>8</v>
      </c>
      <c r="C11" s="186" t="s">
        <v>587</v>
      </c>
      <c r="D11" s="187">
        <v>23</v>
      </c>
      <c r="E11" s="187">
        <v>743</v>
      </c>
      <c r="F11" s="187">
        <v>32</v>
      </c>
    </row>
    <row r="12" spans="2:8">
      <c r="E12" s="177" t="s">
        <v>570</v>
      </c>
      <c r="F12" s="177">
        <f>其他费用计算!D73</f>
        <v>0</v>
      </c>
      <c r="G12" s="188" t="s">
        <v>588</v>
      </c>
      <c r="H12" s="188">
        <v>35</v>
      </c>
    </row>
  </sheetData>
  <mergeCells count="4">
    <mergeCell ref="E2:F2"/>
    <mergeCell ref="B2:B3"/>
    <mergeCell ref="C2:C3"/>
    <mergeCell ref="D2:D3"/>
  </mergeCells>
  <pageMargins left="0.699305555555556" right="0.69930555555555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7" tint="0.799768059327982"/>
  </sheetPr>
  <dimension ref="A2:HH14"/>
  <sheetViews>
    <sheetView workbookViewId="0">
      <pane xSplit="4" ySplit="6" topLeftCell="E7" activePane="bottomRight" state="frozen"/>
      <selection/>
      <selection pane="topRight"/>
      <selection pane="bottomLeft"/>
      <selection pane="bottomRight" activeCell="E10" sqref="E10"/>
    </sheetView>
  </sheetViews>
  <sheetFormatPr defaultColWidth="8.58333333333333" defaultRowHeight="15"/>
  <cols>
    <col min="1" max="1" width="9" style="123" customWidth="1"/>
    <col min="2" max="2" width="9" style="46" customWidth="1"/>
    <col min="3" max="3" width="20.5833333333333" style="123" customWidth="1"/>
    <col min="4" max="4" width="14.5833333333333" style="46" customWidth="1"/>
    <col min="5" max="5" width="11.375" style="85" customWidth="1"/>
    <col min="6" max="6" width="9.5" style="46" customWidth="1"/>
    <col min="7" max="9" width="11.75" style="46" customWidth="1"/>
    <col min="10" max="10" width="10.5" style="46" customWidth="1"/>
    <col min="11" max="11" width="10" style="46" customWidth="1"/>
    <col min="12" max="14" width="11.75" style="46" customWidth="1"/>
    <col min="15" max="15" width="10.75" style="46" customWidth="1"/>
    <col min="16" max="17" width="11.75" style="46" customWidth="1"/>
    <col min="18" max="196" width="8.58333333333333" style="123" customWidth="1"/>
    <col min="197" max="216" width="9" style="123" customWidth="1"/>
    <col min="217" max="16384" width="8.58333333333333" style="2"/>
  </cols>
  <sheetData>
    <row r="2" ht="21" spans="1:216">
      <c r="B2" s="47" t="s">
        <v>589</v>
      </c>
      <c r="C2" s="47"/>
      <c r="D2" s="159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ht="15.75"/>
    <row r="4" ht="24" customHeight="1" spans="1:216">
      <c r="B4" s="160" t="s">
        <v>2</v>
      </c>
      <c r="C4" s="161" t="s">
        <v>282</v>
      </c>
      <c r="D4" s="161" t="s">
        <v>115</v>
      </c>
      <c r="E4" s="162" t="s">
        <v>75</v>
      </c>
      <c r="F4" s="163" t="s">
        <v>590</v>
      </c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5"/>
    </row>
    <row r="5" ht="26.15" customHeight="1" spans="1:216">
      <c r="B5" s="166"/>
      <c r="C5" s="12"/>
      <c r="D5" s="12"/>
      <c r="E5" s="12" t="s">
        <v>77</v>
      </c>
      <c r="F5" s="12" t="s">
        <v>78</v>
      </c>
      <c r="G5" s="12" t="s">
        <v>79</v>
      </c>
      <c r="H5" s="12" t="s">
        <v>80</v>
      </c>
      <c r="I5" s="12" t="s">
        <v>81</v>
      </c>
      <c r="J5" s="12" t="s">
        <v>82</v>
      </c>
      <c r="K5" s="12" t="s">
        <v>83</v>
      </c>
      <c r="L5" s="12" t="s">
        <v>84</v>
      </c>
      <c r="M5" s="12" t="s">
        <v>85</v>
      </c>
      <c r="N5" s="12" t="s">
        <v>86</v>
      </c>
      <c r="O5" s="12" t="s">
        <v>87</v>
      </c>
      <c r="P5" s="12" t="s">
        <v>88</v>
      </c>
      <c r="Q5" s="167" t="s">
        <v>89</v>
      </c>
    </row>
    <row r="6" ht="23.25" customHeight="1" spans="1:216">
      <c r="B6" s="168">
        <v>1</v>
      </c>
      <c r="C6" s="38" t="s">
        <v>591</v>
      </c>
      <c r="D6" s="63">
        <f>D7+D8</f>
        <v>16036.4137032</v>
      </c>
      <c r="E6" s="143">
        <f>E7+E8</f>
        <v>16036.4137032</v>
      </c>
      <c r="F6" s="63"/>
      <c r="G6" s="63"/>
      <c r="H6" s="55"/>
      <c r="I6" s="55"/>
      <c r="J6" s="55"/>
      <c r="K6" s="55"/>
      <c r="L6" s="55"/>
      <c r="M6" s="55"/>
      <c r="N6" s="55"/>
      <c r="O6" s="55"/>
      <c r="P6" s="55"/>
      <c r="Q6" s="169"/>
    </row>
    <row r="7" ht="22.15" customHeight="1" spans="1:216">
      <c r="B7" s="168">
        <v>2</v>
      </c>
      <c r="C7" s="170" t="s">
        <v>592</v>
      </c>
      <c r="D7" s="64">
        <f>SUM(E7)</f>
        <v>15846.2586</v>
      </c>
      <c r="E7" s="130">
        <f>输入参数!E3</f>
        <v>15846.2586</v>
      </c>
      <c r="F7" s="64"/>
      <c r="G7" s="63"/>
      <c r="H7" s="55"/>
      <c r="I7" s="55"/>
      <c r="J7" s="55"/>
      <c r="K7" s="55"/>
      <c r="L7" s="55"/>
      <c r="M7" s="55"/>
      <c r="N7" s="55"/>
      <c r="O7" s="55"/>
      <c r="P7" s="112"/>
      <c r="Q7" s="169"/>
    </row>
    <row r="8" s="2" customFormat="1" ht="22.15" customHeight="1" spans="1:216">
      <c r="A8" s="123"/>
      <c r="B8" s="168">
        <v>3</v>
      </c>
      <c r="C8" s="170" t="s">
        <v>444</v>
      </c>
      <c r="D8" s="64">
        <f>SUM(E8)</f>
        <v>190.1551032</v>
      </c>
      <c r="E8" s="130">
        <f>E7*0.8*0.03/2</f>
        <v>190.1551032</v>
      </c>
      <c r="F8" s="64"/>
      <c r="G8" s="63"/>
      <c r="H8" s="55"/>
      <c r="I8" s="55"/>
      <c r="J8" s="55"/>
      <c r="K8" s="55"/>
      <c r="L8" s="55"/>
      <c r="M8" s="55"/>
      <c r="N8" s="55"/>
      <c r="O8" s="55"/>
      <c r="P8" s="112"/>
      <c r="Q8" s="169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</row>
    <row r="9" s="2" customFormat="1" ht="22.15" customHeight="1" spans="1:216">
      <c r="A9" s="123"/>
      <c r="B9" s="168">
        <v>4</v>
      </c>
      <c r="C9" s="170" t="s">
        <v>593</v>
      </c>
      <c r="D9" s="58">
        <f>D7+D8</f>
        <v>16036.4137032</v>
      </c>
      <c r="E9" s="130">
        <f>E7+E8</f>
        <v>16036.4137032</v>
      </c>
      <c r="F9" s="58"/>
      <c r="G9" s="58"/>
      <c r="H9" s="58"/>
      <c r="I9" s="58"/>
      <c r="J9" s="58"/>
      <c r="K9" s="58"/>
      <c r="L9" s="58"/>
      <c r="M9" s="58"/>
      <c r="N9" s="58"/>
      <c r="O9" s="58"/>
      <c r="P9" s="77"/>
      <c r="Q9" s="171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3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  <c r="HC9" s="123"/>
      <c r="HD9" s="123"/>
      <c r="HE9" s="123"/>
      <c r="HF9" s="123"/>
      <c r="HG9" s="123"/>
      <c r="HH9" s="123"/>
    </row>
    <row r="10" s="2" customFormat="1" ht="22.15" customHeight="1" spans="1:216">
      <c r="A10" s="123"/>
      <c r="B10" s="168">
        <v>5</v>
      </c>
      <c r="C10" s="170" t="s">
        <v>594</v>
      </c>
      <c r="D10" s="64">
        <f>E10+P10</f>
        <v>3207.28274064</v>
      </c>
      <c r="E10" s="130">
        <f>E6*0.2</f>
        <v>3207.28274064</v>
      </c>
      <c r="F10" s="64"/>
      <c r="G10" s="63"/>
      <c r="H10" s="55"/>
      <c r="I10" s="55"/>
      <c r="J10" s="55"/>
      <c r="K10" s="55"/>
      <c r="L10" s="55"/>
      <c r="M10" s="55"/>
      <c r="N10" s="55"/>
      <c r="O10" s="55"/>
      <c r="P10" s="112"/>
      <c r="Q10" s="169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3"/>
      <c r="EB10" s="123"/>
      <c r="EC10" s="123"/>
      <c r="ED10" s="123"/>
      <c r="EE10" s="12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</row>
    <row r="11" s="2" customFormat="1" ht="22.15" customHeight="1" spans="1:216">
      <c r="A11" s="123"/>
      <c r="B11" s="168">
        <v>6</v>
      </c>
      <c r="C11" s="170" t="s">
        <v>595</v>
      </c>
      <c r="D11" s="64">
        <f>E11+P11</f>
        <v>12829.13096256</v>
      </c>
      <c r="E11" s="130">
        <f>D6*0.8</f>
        <v>12829.13096256</v>
      </c>
      <c r="F11" s="64"/>
      <c r="G11" s="63"/>
      <c r="H11" s="55"/>
      <c r="I11" s="55"/>
      <c r="J11" s="55"/>
      <c r="K11" s="55"/>
      <c r="L11" s="55"/>
      <c r="M11" s="55"/>
      <c r="N11" s="55"/>
      <c r="O11" s="55"/>
      <c r="P11" s="112"/>
      <c r="Q11" s="169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  <c r="EB11" s="123"/>
      <c r="EC11" s="123"/>
      <c r="ED11" s="123"/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</row>
    <row r="12" s="2" customFormat="1" ht="22.15" customHeight="1" spans="1:216">
      <c r="A12" s="123"/>
      <c r="B12" s="168">
        <v>7</v>
      </c>
      <c r="C12" s="170" t="s">
        <v>596</v>
      </c>
      <c r="D12" s="64">
        <f>SUM(E12:Q12)</f>
        <v>12677.00688</v>
      </c>
      <c r="E12" s="130">
        <f>E7*0.8</f>
        <v>12677.00688</v>
      </c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77"/>
      <c r="Q12" s="172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</row>
    <row r="13" s="123" customFormat="1" ht="22.15" customHeight="1" spans="1:216">
      <c r="B13" s="168">
        <v>8</v>
      </c>
      <c r="C13" s="170" t="s">
        <v>597</v>
      </c>
      <c r="D13" s="64">
        <f>SUM(E13:Q13)</f>
        <v>12829.13096256</v>
      </c>
      <c r="E13" s="130"/>
      <c r="F13" s="64">
        <f>'表5-借款还本付息表'!F11</f>
        <v>1119.09159316805</v>
      </c>
      <c r="G13" s="64">
        <f>'表5-借款还本付息表'!G11</f>
        <v>1152.66434096309</v>
      </c>
      <c r="H13" s="64">
        <f>'表5-借款还本付息表'!H11</f>
        <v>1187.24427119198</v>
      </c>
      <c r="I13" s="64">
        <f>'表5-借款还本付息表'!I11</f>
        <v>1222.86159932774</v>
      </c>
      <c r="J13" s="64">
        <f>'表5-借款还本付息表'!J11</f>
        <v>1259.54744730757</v>
      </c>
      <c r="K13" s="64">
        <f>'表5-借款还本付息表'!K11</f>
        <v>1297.3338707268</v>
      </c>
      <c r="L13" s="64">
        <f>'表5-借款还本付息表'!L11</f>
        <v>1336.2538868486</v>
      </c>
      <c r="M13" s="64">
        <f>'表5-借款还本付息表'!M11</f>
        <v>1376.34150345406</v>
      </c>
      <c r="N13" s="64">
        <f>'表5-借款还本付息表'!N11</f>
        <v>1417.63174855768</v>
      </c>
      <c r="O13" s="64">
        <f>'表5-借款还本付息表'!O11</f>
        <v>1460.16070101441</v>
      </c>
      <c r="P13" s="64">
        <f>'表5-借款还本付息表'!P11</f>
        <v>-3.8198777474463e-13</v>
      </c>
      <c r="Q13" s="172">
        <f>'表5-借款还本付息表'!Q11</f>
        <v>-3.93447407986969e-13</v>
      </c>
    </row>
    <row r="14" s="2" customFormat="1" ht="22.15" customHeight="1" spans="1:216">
      <c r="A14" s="123"/>
      <c r="B14" s="173">
        <v>9</v>
      </c>
      <c r="C14" s="174" t="s">
        <v>598</v>
      </c>
      <c r="D14" s="69">
        <f>SUM(E14:Q14)</f>
        <v>2210.52425788848</v>
      </c>
      <c r="E14" s="175"/>
      <c r="F14" s="69">
        <f>'表5-借款还本付息表'!F13</f>
        <v>384.8739288768</v>
      </c>
      <c r="G14" s="69">
        <f>'表5-借款还本付息表'!G13</f>
        <v>351.301181081759</v>
      </c>
      <c r="H14" s="69">
        <f>'表5-借款还本付息表'!H13</f>
        <v>316.721250852866</v>
      </c>
      <c r="I14" s="69">
        <f>'表5-借款还本付息表'!I13</f>
        <v>281.103922717107</v>
      </c>
      <c r="J14" s="69">
        <f>'表5-借款还本付息表'!J13</f>
        <v>244.418074737274</v>
      </c>
      <c r="K14" s="69">
        <f>'表5-借款还本付息表'!K13</f>
        <v>206.631651318047</v>
      </c>
      <c r="L14" s="69">
        <f>'表5-借款还本付息表'!L13</f>
        <v>167.711635196243</v>
      </c>
      <c r="M14" s="69">
        <f>'表5-借款还本付息表'!M13</f>
        <v>127.624018590785</v>
      </c>
      <c r="N14" s="69">
        <f>'表5-借款还本付息表'!N13</f>
        <v>86.3337734871633</v>
      </c>
      <c r="O14" s="69">
        <f>'表5-借款还本付息表'!O13</f>
        <v>43.8048210304328</v>
      </c>
      <c r="P14" s="69">
        <f>'表5-借款还本付息表'!P13</f>
        <v>3.8198777474463e-13</v>
      </c>
      <c r="Q14" s="176">
        <f>'表5-借款还本付息表'!Q13</f>
        <v>3.93447407986969e-13</v>
      </c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  <c r="DB14" s="123"/>
      <c r="DC14" s="123"/>
      <c r="DD14" s="123"/>
      <c r="DE14" s="123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  <c r="DY14" s="123"/>
      <c r="DZ14" s="123"/>
      <c r="EA14" s="123"/>
      <c r="EB14" s="123"/>
      <c r="EC14" s="123"/>
      <c r="ED14" s="123"/>
      <c r="EE14" s="123"/>
      <c r="EF14" s="123"/>
      <c r="EG14" s="123"/>
      <c r="EH14" s="123"/>
      <c r="EI14" s="123"/>
      <c r="EJ14" s="123"/>
      <c r="EK14" s="123"/>
      <c r="EL14" s="123"/>
      <c r="EM14" s="123"/>
      <c r="EN14" s="123"/>
      <c r="EO14" s="123"/>
      <c r="EP14" s="123"/>
      <c r="EQ14" s="123"/>
      <c r="ER14" s="123"/>
      <c r="ES14" s="123"/>
      <c r="ET14" s="123"/>
      <c r="EU14" s="123"/>
      <c r="EV14" s="123"/>
      <c r="EW14" s="123"/>
      <c r="EX14" s="123"/>
      <c r="EY14" s="123"/>
      <c r="EZ14" s="123"/>
      <c r="FA14" s="123"/>
      <c r="FB14" s="123"/>
      <c r="FC14" s="123"/>
      <c r="FD14" s="123"/>
      <c r="FE14" s="123"/>
      <c r="FF14" s="123"/>
      <c r="FG14" s="123"/>
      <c r="FH14" s="123"/>
      <c r="FI14" s="123"/>
      <c r="FJ14" s="123"/>
      <c r="FK14" s="123"/>
      <c r="FL14" s="123"/>
      <c r="FM14" s="123"/>
      <c r="FN14" s="123"/>
      <c r="FO14" s="123"/>
      <c r="FP14" s="123"/>
      <c r="FQ14" s="123"/>
      <c r="FR14" s="123"/>
      <c r="FS14" s="123"/>
      <c r="FT14" s="123"/>
      <c r="FU14" s="123"/>
      <c r="FV14" s="123"/>
      <c r="FW14" s="123"/>
      <c r="FX14" s="123"/>
      <c r="FY14" s="123"/>
      <c r="FZ14" s="123"/>
      <c r="GA14" s="123"/>
      <c r="GB14" s="123"/>
      <c r="GC14" s="123"/>
      <c r="GD14" s="123"/>
      <c r="GE14" s="123"/>
      <c r="GF14" s="123"/>
      <c r="GG14" s="123"/>
      <c r="GH14" s="123"/>
      <c r="GI14" s="123"/>
      <c r="GJ14" s="123"/>
      <c r="GK14" s="123"/>
      <c r="GL14" s="123"/>
      <c r="GM14" s="123"/>
      <c r="GN14" s="123"/>
      <c r="GO14" s="123"/>
      <c r="GP14" s="123"/>
      <c r="GQ14" s="123"/>
      <c r="GR14" s="123"/>
      <c r="GS14" s="123"/>
      <c r="GT14" s="123"/>
      <c r="GU14" s="123"/>
      <c r="GV14" s="123"/>
      <c r="GW14" s="123"/>
      <c r="GX14" s="123"/>
      <c r="GY14" s="123"/>
      <c r="GZ14" s="123"/>
      <c r="HA14" s="123"/>
      <c r="HB14" s="123"/>
      <c r="HC14" s="123"/>
      <c r="HD14" s="123"/>
      <c r="HE14" s="123"/>
      <c r="HF14" s="123"/>
      <c r="HG14" s="123"/>
      <c r="HH14" s="123"/>
    </row>
  </sheetData>
  <mergeCells count="5">
    <mergeCell ref="B2:Q2"/>
    <mergeCell ref="F4:Q4"/>
    <mergeCell ref="B4:B5"/>
    <mergeCell ref="C4:C5"/>
    <mergeCell ref="D4:D5"/>
  </mergeCells>
  <pageMargins left="0.75" right="0.75" top="1" bottom="1" header="0.509027777777778" footer="0.509027777777778"/>
  <pageSetup paperSize="9" orientation="portrait" horizontalDpi="1200" verticalDpi="1200"/>
  <headerFooter alignWithMargins="0" scaleWithDoc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7" tint="0.799768059327982"/>
  </sheetPr>
  <dimension ref="A2:HT56"/>
  <sheetViews>
    <sheetView showZeros="0" zoomScale="80" zoomScaleNormal="80" workbookViewId="0">
      <pane xSplit="4" ySplit="5" topLeftCell="E14" activePane="bottomRight" state="frozen"/>
      <selection/>
      <selection pane="topRight"/>
      <selection pane="bottomLeft"/>
      <selection pane="bottomRight" activeCell="Q41" sqref="Q41"/>
    </sheetView>
  </sheetViews>
  <sheetFormatPr defaultColWidth="8.58333333333333" defaultRowHeight="15"/>
  <cols>
    <col min="1" max="1" width="12.8" style="2"/>
    <col min="2" max="2" width="5.75" style="44" customWidth="1"/>
    <col min="3" max="3" width="25.5833333333333" style="44" customWidth="1"/>
    <col min="4" max="4" width="12.0833333333333" style="46" customWidth="1"/>
    <col min="5" max="5" width="8.08333333333333" style="46" customWidth="1"/>
    <col min="6" max="8" width="11.25" style="46" customWidth="1"/>
    <col min="9" max="9" width="10.0833333333333" style="46" customWidth="1"/>
    <col min="10" max="10" width="11.175" style="46" customWidth="1"/>
    <col min="11" max="15" width="11.7" style="46"/>
    <col min="16" max="17" width="9.5" style="46"/>
    <col min="18" max="196" width="8.58333333333333" style="44" customWidth="1"/>
    <col min="197" max="215" width="9" style="44" customWidth="1"/>
    <col min="216" max="16384" width="8.58333333333333" style="2"/>
  </cols>
  <sheetData>
    <row r="2" ht="21" spans="1:228">
      <c r="B2" s="47" t="s">
        <v>599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="123" customFormat="1" ht="21.75" spans="1:228"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="70" customFormat="1" ht="26.15" customHeight="1" spans="1:228">
      <c r="B4" s="126" t="s">
        <v>2</v>
      </c>
      <c r="C4" s="49" t="s">
        <v>282</v>
      </c>
      <c r="D4" s="49" t="s">
        <v>115</v>
      </c>
      <c r="E4" s="49" t="s">
        <v>75</v>
      </c>
      <c r="F4" s="53" t="s">
        <v>590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="70" customFormat="1" ht="21" customHeight="1" spans="1:228">
      <c r="B5" s="52" t="s">
        <v>62</v>
      </c>
      <c r="C5" s="37"/>
      <c r="D5" s="53"/>
      <c r="E5" s="12" t="s">
        <v>77</v>
      </c>
      <c r="F5" s="12" t="s">
        <v>78</v>
      </c>
      <c r="G5" s="12" t="s">
        <v>79</v>
      </c>
      <c r="H5" s="12" t="s">
        <v>80</v>
      </c>
      <c r="I5" s="12" t="s">
        <v>81</v>
      </c>
      <c r="J5" s="12" t="s">
        <v>82</v>
      </c>
      <c r="K5" s="12" t="s">
        <v>83</v>
      </c>
      <c r="L5" s="12" t="s">
        <v>84</v>
      </c>
      <c r="M5" s="12" t="s">
        <v>85</v>
      </c>
      <c r="N5" s="12" t="s">
        <v>86</v>
      </c>
      <c r="O5" s="12" t="s">
        <v>87</v>
      </c>
      <c r="P5" s="12" t="s">
        <v>88</v>
      </c>
      <c r="Q5" s="12" t="s">
        <v>89</v>
      </c>
    </row>
    <row r="6" s="70" customFormat="1" ht="21" customHeight="1" spans="1:228">
      <c r="B6" s="127"/>
      <c r="C6" s="128" t="s">
        <v>600</v>
      </c>
      <c r="D6" s="129"/>
      <c r="E6" s="70"/>
      <c r="F6" s="130">
        <f>手动输入参数表!D27</f>
        <v>255</v>
      </c>
      <c r="G6" s="130">
        <f t="shared" ref="G6:Q6" si="0">F6</f>
        <v>255</v>
      </c>
      <c r="H6" s="130">
        <f t="shared" si="0"/>
        <v>255</v>
      </c>
      <c r="I6" s="130">
        <f t="shared" si="0"/>
        <v>255</v>
      </c>
      <c r="J6" s="130">
        <f t="shared" si="0"/>
        <v>255</v>
      </c>
      <c r="K6" s="130">
        <f t="shared" si="0"/>
        <v>255</v>
      </c>
      <c r="L6" s="130">
        <f t="shared" si="0"/>
        <v>255</v>
      </c>
      <c r="M6" s="130">
        <f t="shared" si="0"/>
        <v>255</v>
      </c>
      <c r="N6" s="130">
        <f t="shared" si="0"/>
        <v>255</v>
      </c>
      <c r="O6" s="130">
        <f t="shared" si="0"/>
        <v>255</v>
      </c>
      <c r="P6" s="130">
        <f t="shared" si="0"/>
        <v>255</v>
      </c>
      <c r="Q6" s="130">
        <f t="shared" si="0"/>
        <v>255</v>
      </c>
    </row>
    <row r="7" s="70" customFormat="1" ht="21" customHeight="1" spans="1:228">
      <c r="B7" s="52"/>
      <c r="C7" s="37" t="s">
        <v>601</v>
      </c>
      <c r="D7" s="12">
        <f>输入参数!E17</f>
        <v>10</v>
      </c>
      <c r="E7" s="12"/>
      <c r="F7" s="12">
        <f>D7</f>
        <v>10</v>
      </c>
      <c r="G7" s="12">
        <f>F7</f>
        <v>10</v>
      </c>
      <c r="H7" s="12">
        <f t="shared" ref="H7:Q7" si="1">G7</f>
        <v>10</v>
      </c>
      <c r="I7" s="12">
        <f t="shared" si="1"/>
        <v>10</v>
      </c>
      <c r="J7" s="12">
        <f t="shared" si="1"/>
        <v>10</v>
      </c>
      <c r="K7" s="12">
        <f t="shared" si="1"/>
        <v>10</v>
      </c>
      <c r="L7" s="12">
        <f t="shared" si="1"/>
        <v>10</v>
      </c>
      <c r="M7" s="12">
        <f t="shared" si="1"/>
        <v>10</v>
      </c>
      <c r="N7" s="12">
        <f t="shared" si="1"/>
        <v>10</v>
      </c>
      <c r="O7" s="12">
        <f t="shared" si="1"/>
        <v>10</v>
      </c>
      <c r="P7" s="12">
        <f t="shared" si="1"/>
        <v>10</v>
      </c>
      <c r="Q7" s="12">
        <f t="shared" si="1"/>
        <v>10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2"/>
      <c r="HI7" s="2"/>
      <c r="HJ7" s="2"/>
      <c r="HK7" s="2"/>
    </row>
    <row r="8" s="70" customFormat="1" ht="21" customHeight="1" spans="1:228">
      <c r="B8" s="52"/>
      <c r="C8" s="37" t="s">
        <v>602</v>
      </c>
      <c r="D8" s="12"/>
      <c r="E8" s="12"/>
      <c r="F8" s="12">
        <f>输入参数!E18</f>
        <v>2</v>
      </c>
      <c r="G8" s="12">
        <f>F8</f>
        <v>2</v>
      </c>
      <c r="H8" s="12">
        <f t="shared" ref="H8:Q8" si="2">G8</f>
        <v>2</v>
      </c>
      <c r="I8" s="12">
        <f t="shared" si="2"/>
        <v>2</v>
      </c>
      <c r="J8" s="12">
        <f t="shared" si="2"/>
        <v>2</v>
      </c>
      <c r="K8" s="12">
        <f t="shared" si="2"/>
        <v>2</v>
      </c>
      <c r="L8" s="12">
        <f t="shared" si="2"/>
        <v>2</v>
      </c>
      <c r="M8" s="12">
        <f t="shared" si="2"/>
        <v>2</v>
      </c>
      <c r="N8" s="12">
        <f t="shared" si="2"/>
        <v>2</v>
      </c>
      <c r="O8" s="12">
        <f t="shared" si="2"/>
        <v>2</v>
      </c>
      <c r="P8" s="12">
        <f t="shared" si="2"/>
        <v>2</v>
      </c>
      <c r="Q8" s="12">
        <f t="shared" si="2"/>
        <v>2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2"/>
      <c r="HI8" s="2"/>
      <c r="HJ8" s="2"/>
      <c r="HK8" s="2"/>
    </row>
    <row r="9" s="70" customFormat="1" ht="21" customHeight="1" spans="1:228">
      <c r="B9" s="52"/>
      <c r="C9" s="131" t="s">
        <v>603</v>
      </c>
      <c r="D9" s="58"/>
      <c r="E9" s="132"/>
      <c r="F9" s="133">
        <v>0.963934426229508</v>
      </c>
      <c r="G9" s="133">
        <v>0.945901639344262</v>
      </c>
      <c r="H9" s="133">
        <v>0.929508196721311</v>
      </c>
      <c r="I9" s="133">
        <v>0.917486338797814</v>
      </c>
      <c r="J9" s="133">
        <v>0.903825136612022</v>
      </c>
      <c r="K9" s="133">
        <v>0.893989071038251</v>
      </c>
      <c r="L9" s="133">
        <v>0.881967213114754</v>
      </c>
      <c r="M9" s="133">
        <v>0.873224043715847</v>
      </c>
      <c r="N9" s="133">
        <v>0.86120218579235</v>
      </c>
      <c r="O9" s="133">
        <v>0.854098360655738</v>
      </c>
      <c r="P9" s="133">
        <v>0.843715846994536</v>
      </c>
      <c r="Q9" s="133">
        <v>0.836612021857923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2"/>
      <c r="HI9" s="2"/>
      <c r="HJ9" s="2"/>
      <c r="HK9" s="2"/>
    </row>
    <row r="10" s="70" customFormat="1" ht="21" customHeight="1" spans="1:228">
      <c r="B10" s="52"/>
      <c r="C10" s="37" t="s">
        <v>604</v>
      </c>
      <c r="D10" s="12"/>
      <c r="E10" s="12"/>
      <c r="F10" s="12">
        <v>0.86</v>
      </c>
      <c r="G10" s="12">
        <v>0.86</v>
      </c>
      <c r="H10" s="12">
        <v>0.86</v>
      </c>
      <c r="I10" s="12">
        <v>0.86</v>
      </c>
      <c r="J10" s="12">
        <v>0.86</v>
      </c>
      <c r="K10" s="12">
        <v>0.86</v>
      </c>
      <c r="L10" s="12">
        <v>0.86</v>
      </c>
      <c r="M10" s="12">
        <v>0.86</v>
      </c>
      <c r="N10" s="12">
        <v>0.86</v>
      </c>
      <c r="O10" s="12">
        <v>0.86</v>
      </c>
      <c r="P10" s="12">
        <v>0.86</v>
      </c>
      <c r="Q10" s="12">
        <v>0.86</v>
      </c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2"/>
      <c r="HI10" s="2"/>
      <c r="HJ10" s="2"/>
      <c r="HK10" s="2"/>
    </row>
    <row r="11" s="44" customFormat="1" ht="21" customHeight="1" spans="1:228">
      <c r="B11" s="134"/>
      <c r="C11" s="131" t="s">
        <v>605</v>
      </c>
      <c r="D11" s="58"/>
      <c r="E11" s="132"/>
      <c r="F11" s="130">
        <v>0.95</v>
      </c>
      <c r="G11" s="130">
        <v>0.95</v>
      </c>
      <c r="H11" s="130">
        <v>0.95</v>
      </c>
      <c r="I11" s="130">
        <v>0.95</v>
      </c>
      <c r="J11" s="130">
        <v>0.95</v>
      </c>
      <c r="K11" s="130">
        <v>0.95</v>
      </c>
      <c r="L11" s="130">
        <v>0.95</v>
      </c>
      <c r="M11" s="130">
        <v>0.95</v>
      </c>
      <c r="N11" s="130">
        <v>0.95</v>
      </c>
      <c r="O11" s="130">
        <v>0.95</v>
      </c>
      <c r="P11" s="130">
        <v>0.95</v>
      </c>
      <c r="Q11" s="130">
        <v>0.95</v>
      </c>
      <c r="HH11" s="2"/>
      <c r="HI11" s="2"/>
      <c r="HJ11" s="2"/>
      <c r="HK11" s="2"/>
    </row>
    <row r="12" s="44" customFormat="1" ht="21" customHeight="1" spans="1:228">
      <c r="B12" s="134"/>
      <c r="C12" s="38" t="s">
        <v>606</v>
      </c>
      <c r="D12" s="58"/>
      <c r="E12" s="132"/>
      <c r="F12" s="112">
        <f>F15/10</f>
        <v>401.642557377049</v>
      </c>
      <c r="G12" s="112">
        <f t="shared" ref="G12:Y12" si="3">G15/10</f>
        <v>394.128836065574</v>
      </c>
      <c r="H12" s="112">
        <f t="shared" si="3"/>
        <v>387.298180327869</v>
      </c>
      <c r="I12" s="112">
        <f t="shared" si="3"/>
        <v>382.289032786885</v>
      </c>
      <c r="J12" s="112">
        <f t="shared" si="3"/>
        <v>376.596819672131</v>
      </c>
      <c r="K12" s="112">
        <f t="shared" si="3"/>
        <v>372.498426229508</v>
      </c>
      <c r="L12" s="112">
        <f t="shared" si="3"/>
        <v>367.489278688525</v>
      </c>
      <c r="M12" s="112">
        <f t="shared" si="3"/>
        <v>363.846262295082</v>
      </c>
      <c r="N12" s="112">
        <f t="shared" si="3"/>
        <v>358.837114754098</v>
      </c>
      <c r="O12" s="112">
        <f t="shared" si="3"/>
        <v>355.877163934426</v>
      </c>
      <c r="P12" s="112">
        <f t="shared" si="3"/>
        <v>351.551081967213</v>
      </c>
      <c r="Q12" s="112">
        <f t="shared" si="3"/>
        <v>348.591131147541</v>
      </c>
      <c r="HH12" s="2"/>
      <c r="HI12" s="2"/>
      <c r="HJ12" s="2"/>
      <c r="HK12" s="2"/>
    </row>
    <row r="13" s="44" customFormat="1" ht="21" customHeight="1" spans="1:228">
      <c r="A13" s="2"/>
      <c r="B13" s="134"/>
      <c r="C13" s="38" t="s">
        <v>607</v>
      </c>
      <c r="D13" s="58">
        <f>输入参数!E7</f>
        <v>0</v>
      </c>
      <c r="E13" s="132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</row>
    <row r="14" s="44" customFormat="1" ht="21" customHeight="1" spans="1:228">
      <c r="A14" s="2"/>
      <c r="B14" s="134"/>
      <c r="C14" s="38" t="s">
        <v>608</v>
      </c>
      <c r="D14" s="58"/>
      <c r="E14" s="132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</row>
    <row r="15" s="124" customFormat="1" ht="17.15" customHeight="1" spans="1:228">
      <c r="B15" s="136" t="s">
        <v>62</v>
      </c>
      <c r="C15" s="137" t="s">
        <v>609</v>
      </c>
      <c r="D15" s="58">
        <f>SUM(E15:Q15)</f>
        <v>44606.458852459</v>
      </c>
      <c r="E15" s="57"/>
      <c r="F15" s="57">
        <f>F6*F7*F8*F9*F10*F11</f>
        <v>4016.42557377049</v>
      </c>
      <c r="G15" s="57">
        <f t="shared" ref="G15:Y15" si="4">G6*G7*G8*G9*G10*G11</f>
        <v>3941.28836065574</v>
      </c>
      <c r="H15" s="57">
        <f t="shared" si="4"/>
        <v>3872.98180327869</v>
      </c>
      <c r="I15" s="57">
        <f t="shared" si="4"/>
        <v>3822.89032786885</v>
      </c>
      <c r="J15" s="57">
        <f t="shared" si="4"/>
        <v>3765.96819672131</v>
      </c>
      <c r="K15" s="57">
        <f t="shared" si="4"/>
        <v>3724.98426229508</v>
      </c>
      <c r="L15" s="57">
        <f t="shared" si="4"/>
        <v>3674.89278688525</v>
      </c>
      <c r="M15" s="57">
        <f t="shared" si="4"/>
        <v>3638.46262295082</v>
      </c>
      <c r="N15" s="57">
        <f t="shared" si="4"/>
        <v>3588.37114754098</v>
      </c>
      <c r="O15" s="57">
        <f t="shared" si="4"/>
        <v>3558.77163934426</v>
      </c>
      <c r="P15" s="57">
        <f t="shared" si="4"/>
        <v>3515.51081967213</v>
      </c>
      <c r="Q15" s="57">
        <f t="shared" si="4"/>
        <v>3485.91131147541</v>
      </c>
      <c r="R15" s="138">
        <f>D15/12</f>
        <v>3717.20490437158</v>
      </c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8"/>
      <c r="BD15" s="138"/>
      <c r="BE15" s="138"/>
      <c r="BF15" s="138"/>
      <c r="BG15" s="138"/>
      <c r="BH15" s="138"/>
      <c r="BI15" s="138"/>
      <c r="BJ15" s="138"/>
      <c r="BK15" s="138"/>
      <c r="BL15" s="138"/>
      <c r="BM15" s="138"/>
      <c r="BN15" s="138"/>
      <c r="BO15" s="138"/>
      <c r="BP15" s="138"/>
      <c r="BQ15" s="138"/>
      <c r="BR15" s="138"/>
      <c r="BS15" s="138"/>
      <c r="BT15" s="138"/>
      <c r="BU15" s="138"/>
      <c r="BV15" s="138"/>
      <c r="BW15" s="138"/>
      <c r="BX15" s="138"/>
      <c r="BY15" s="138"/>
      <c r="BZ15" s="138"/>
      <c r="CA15" s="138"/>
      <c r="CB15" s="138"/>
      <c r="CC15" s="138"/>
      <c r="CD15" s="138"/>
      <c r="CE15" s="138"/>
      <c r="CF15" s="138"/>
      <c r="CG15" s="138"/>
      <c r="CH15" s="138"/>
      <c r="CI15" s="138"/>
      <c r="CJ15" s="138"/>
      <c r="CK15" s="138"/>
      <c r="CL15" s="138"/>
      <c r="CM15" s="138"/>
      <c r="CN15" s="138"/>
      <c r="CO15" s="138"/>
      <c r="CP15" s="138"/>
      <c r="CQ15" s="138"/>
      <c r="CR15" s="138"/>
      <c r="CS15" s="138"/>
      <c r="CT15" s="138"/>
      <c r="CU15" s="138"/>
      <c r="CV15" s="138"/>
      <c r="CW15" s="138"/>
      <c r="CX15" s="138"/>
      <c r="CY15" s="138"/>
      <c r="CZ15" s="138"/>
      <c r="DA15" s="138"/>
      <c r="DB15" s="138"/>
      <c r="DC15" s="138"/>
      <c r="DD15" s="138"/>
      <c r="DE15" s="138"/>
      <c r="DF15" s="138"/>
      <c r="DG15" s="138"/>
      <c r="DH15" s="138"/>
      <c r="DI15" s="138"/>
      <c r="DJ15" s="138"/>
      <c r="DK15" s="138"/>
      <c r="DL15" s="138"/>
      <c r="DM15" s="138"/>
      <c r="DN15" s="138"/>
      <c r="DO15" s="138"/>
      <c r="DP15" s="138"/>
      <c r="DQ15" s="138"/>
      <c r="DR15" s="138"/>
      <c r="DS15" s="138"/>
      <c r="DT15" s="138"/>
      <c r="DU15" s="138"/>
      <c r="DV15" s="138"/>
      <c r="DW15" s="138"/>
      <c r="DX15" s="138"/>
      <c r="DY15" s="138"/>
      <c r="DZ15" s="138"/>
      <c r="EA15" s="138"/>
      <c r="EB15" s="138"/>
      <c r="EC15" s="138"/>
      <c r="ED15" s="138"/>
      <c r="EE15" s="138"/>
      <c r="EF15" s="138"/>
      <c r="EG15" s="138"/>
      <c r="EH15" s="138"/>
      <c r="EI15" s="138"/>
      <c r="EJ15" s="138"/>
      <c r="EK15" s="138"/>
      <c r="EL15" s="138"/>
      <c r="EM15" s="138"/>
      <c r="EN15" s="138"/>
      <c r="EO15" s="138"/>
      <c r="EP15" s="138"/>
      <c r="EQ15" s="138"/>
      <c r="ER15" s="138"/>
      <c r="ES15" s="138"/>
      <c r="ET15" s="138"/>
      <c r="EU15" s="138"/>
      <c r="EV15" s="138"/>
      <c r="EW15" s="138"/>
      <c r="EX15" s="138"/>
      <c r="EY15" s="138"/>
      <c r="EZ15" s="138"/>
      <c r="FA15" s="138"/>
      <c r="FB15" s="138"/>
      <c r="FC15" s="138"/>
      <c r="FD15" s="138"/>
      <c r="FE15" s="138"/>
      <c r="FF15" s="138"/>
      <c r="FG15" s="138"/>
      <c r="FH15" s="138"/>
      <c r="FI15" s="138"/>
      <c r="FJ15" s="138"/>
      <c r="FK15" s="138"/>
      <c r="FL15" s="138"/>
      <c r="FM15" s="138"/>
      <c r="FN15" s="138"/>
      <c r="FO15" s="138"/>
      <c r="FP15" s="138"/>
      <c r="FQ15" s="138"/>
      <c r="FR15" s="138"/>
      <c r="FS15" s="138"/>
      <c r="FT15" s="138"/>
      <c r="FU15" s="138"/>
      <c r="FV15" s="138"/>
      <c r="FW15" s="138"/>
      <c r="FX15" s="138"/>
      <c r="FY15" s="138"/>
      <c r="FZ15" s="138"/>
      <c r="GA15" s="138"/>
      <c r="GB15" s="138"/>
      <c r="GC15" s="138"/>
      <c r="GD15" s="138"/>
      <c r="GE15" s="138"/>
      <c r="GF15" s="138"/>
      <c r="GG15" s="138"/>
      <c r="GH15" s="138"/>
      <c r="GI15" s="138"/>
      <c r="GJ15" s="138"/>
      <c r="GK15" s="138"/>
      <c r="GL15" s="138"/>
      <c r="GM15" s="138"/>
      <c r="GN15" s="138"/>
      <c r="GO15" s="138"/>
      <c r="GP15" s="138"/>
      <c r="GQ15" s="138"/>
      <c r="GR15" s="138"/>
      <c r="GS15" s="138"/>
      <c r="GT15" s="138"/>
      <c r="GU15" s="138"/>
      <c r="GV15" s="138"/>
      <c r="GW15" s="138"/>
      <c r="GX15" s="138"/>
      <c r="GY15" s="138"/>
      <c r="GZ15" s="138"/>
      <c r="HA15" s="138"/>
      <c r="HB15" s="138"/>
      <c r="HC15" s="138"/>
      <c r="HD15" s="138"/>
      <c r="HE15" s="138"/>
      <c r="HF15" s="138"/>
      <c r="HG15" s="138"/>
      <c r="HH15" s="2"/>
      <c r="HI15" s="2"/>
      <c r="HJ15" s="2"/>
      <c r="HK15" s="2"/>
    </row>
    <row r="16" s="124" customFormat="1" ht="17.15" customHeight="1" spans="1:228">
      <c r="B16" s="136"/>
      <c r="C16" s="139" t="s">
        <v>610</v>
      </c>
      <c r="D16" s="58"/>
      <c r="E16" s="57"/>
      <c r="F16" s="57">
        <f>F15/(F8*F7)</f>
        <v>200.821278688525</v>
      </c>
      <c r="G16" s="57">
        <f t="shared" ref="G16:Y16" si="5">G15/(G8*G7)</f>
        <v>197.064418032787</v>
      </c>
      <c r="H16" s="57">
        <f t="shared" si="5"/>
        <v>193.649090163934</v>
      </c>
      <c r="I16" s="57">
        <f t="shared" si="5"/>
        <v>191.144516393443</v>
      </c>
      <c r="J16" s="57">
        <f t="shared" si="5"/>
        <v>188.298409836066</v>
      </c>
      <c r="K16" s="57">
        <f t="shared" si="5"/>
        <v>186.249213114754</v>
      </c>
      <c r="L16" s="57">
        <f t="shared" si="5"/>
        <v>183.744639344262</v>
      </c>
      <c r="M16" s="57">
        <f t="shared" si="5"/>
        <v>181.923131147541</v>
      </c>
      <c r="N16" s="57">
        <f t="shared" si="5"/>
        <v>179.418557377049</v>
      </c>
      <c r="O16" s="57">
        <f t="shared" si="5"/>
        <v>177.938581967213</v>
      </c>
      <c r="P16" s="57">
        <f t="shared" si="5"/>
        <v>175.775540983607</v>
      </c>
      <c r="Q16" s="57">
        <f t="shared" si="5"/>
        <v>174.29556557377</v>
      </c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38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38"/>
      <c r="CY16" s="138"/>
      <c r="CZ16" s="138"/>
      <c r="DA16" s="138"/>
      <c r="DB16" s="138"/>
      <c r="DC16" s="138"/>
      <c r="DD16" s="138"/>
      <c r="DE16" s="138"/>
      <c r="DF16" s="138"/>
      <c r="DG16" s="138"/>
      <c r="DH16" s="138"/>
      <c r="DI16" s="138"/>
      <c r="DJ16" s="138"/>
      <c r="DK16" s="138"/>
      <c r="DL16" s="138"/>
      <c r="DM16" s="138"/>
      <c r="DN16" s="138"/>
      <c r="DO16" s="138"/>
      <c r="DP16" s="138"/>
      <c r="DQ16" s="138"/>
      <c r="DR16" s="138"/>
      <c r="DS16" s="138"/>
      <c r="DT16" s="138"/>
      <c r="DU16" s="138"/>
      <c r="DV16" s="138"/>
      <c r="DW16" s="138"/>
      <c r="DX16" s="138"/>
      <c r="DY16" s="138"/>
      <c r="DZ16" s="138"/>
      <c r="EA16" s="138"/>
      <c r="EB16" s="138"/>
      <c r="EC16" s="138"/>
      <c r="ED16" s="138"/>
      <c r="EE16" s="138"/>
      <c r="EF16" s="138"/>
      <c r="EG16" s="138"/>
      <c r="EH16" s="138"/>
      <c r="EI16" s="138"/>
      <c r="EJ16" s="138"/>
      <c r="EK16" s="138"/>
      <c r="EL16" s="138"/>
      <c r="EM16" s="138"/>
      <c r="EN16" s="138"/>
      <c r="EO16" s="138"/>
      <c r="EP16" s="138"/>
      <c r="EQ16" s="138"/>
      <c r="ER16" s="138"/>
      <c r="ES16" s="138"/>
      <c r="ET16" s="138"/>
      <c r="EU16" s="138"/>
      <c r="EV16" s="138"/>
      <c r="EW16" s="138"/>
      <c r="EX16" s="138"/>
      <c r="EY16" s="138"/>
      <c r="EZ16" s="138"/>
      <c r="FA16" s="138"/>
      <c r="FB16" s="138"/>
      <c r="FC16" s="138"/>
      <c r="FD16" s="138"/>
      <c r="FE16" s="138"/>
      <c r="FF16" s="138"/>
      <c r="FG16" s="138"/>
      <c r="FH16" s="138"/>
      <c r="FI16" s="138"/>
      <c r="FJ16" s="138"/>
      <c r="FK16" s="138"/>
      <c r="FL16" s="138"/>
      <c r="FM16" s="138"/>
      <c r="FN16" s="138"/>
      <c r="FO16" s="138"/>
      <c r="FP16" s="138"/>
      <c r="FQ16" s="138"/>
      <c r="FR16" s="138"/>
      <c r="FS16" s="138"/>
      <c r="FT16" s="138"/>
      <c r="FU16" s="138"/>
      <c r="FV16" s="138"/>
      <c r="FW16" s="138"/>
      <c r="FX16" s="138"/>
      <c r="FY16" s="138"/>
      <c r="FZ16" s="138"/>
      <c r="GA16" s="138"/>
      <c r="GB16" s="138"/>
      <c r="GC16" s="138"/>
      <c r="GD16" s="138"/>
      <c r="GE16" s="138"/>
      <c r="GF16" s="138"/>
      <c r="GG16" s="138"/>
      <c r="GH16" s="138"/>
      <c r="GI16" s="138"/>
      <c r="GJ16" s="138"/>
      <c r="GK16" s="138"/>
      <c r="GL16" s="138"/>
      <c r="GM16" s="138"/>
      <c r="GN16" s="138"/>
      <c r="GO16" s="138"/>
      <c r="GP16" s="138"/>
      <c r="GQ16" s="138"/>
      <c r="GR16" s="138"/>
      <c r="GS16" s="138"/>
      <c r="GT16" s="138"/>
      <c r="GU16" s="138"/>
      <c r="GV16" s="138"/>
      <c r="GW16" s="138"/>
      <c r="GX16" s="138"/>
      <c r="GY16" s="138"/>
      <c r="GZ16" s="138"/>
      <c r="HA16" s="138"/>
      <c r="HB16" s="138"/>
      <c r="HC16" s="138"/>
      <c r="HD16" s="138"/>
      <c r="HE16" s="138"/>
      <c r="HF16" s="138"/>
      <c r="HG16" s="138"/>
      <c r="HH16" s="2"/>
      <c r="HI16" s="2"/>
      <c r="HJ16" s="2"/>
      <c r="HK16" s="2"/>
    </row>
    <row r="17" s="124" customFormat="1" ht="17.15" customHeight="1" spans="2:228">
      <c r="B17" s="136"/>
      <c r="C17" s="38" t="s">
        <v>611</v>
      </c>
      <c r="D17" s="133">
        <f>D18/1.13</f>
        <v>0.51929203539823</v>
      </c>
      <c r="E17" s="57"/>
      <c r="F17" s="140">
        <f>D17</f>
        <v>0.51929203539823</v>
      </c>
      <c r="G17" s="140">
        <f t="shared" ref="G17:G21" si="6">F17</f>
        <v>0.51929203539823</v>
      </c>
      <c r="H17" s="140">
        <f>F17</f>
        <v>0.51929203539823</v>
      </c>
      <c r="I17" s="140">
        <f t="shared" ref="I17:I20" si="7">H17</f>
        <v>0.51929203539823</v>
      </c>
      <c r="J17" s="140">
        <f>H17</f>
        <v>0.51929203539823</v>
      </c>
      <c r="K17" s="140">
        <f>J17</f>
        <v>0.51929203539823</v>
      </c>
      <c r="L17" s="140">
        <f>J17</f>
        <v>0.51929203539823</v>
      </c>
      <c r="M17" s="140">
        <f>L17</f>
        <v>0.51929203539823</v>
      </c>
      <c r="N17" s="140">
        <f>L17</f>
        <v>0.51929203539823</v>
      </c>
      <c r="O17" s="140">
        <f>N17</f>
        <v>0.51929203539823</v>
      </c>
      <c r="P17" s="140">
        <f>N17</f>
        <v>0.51929203539823</v>
      </c>
      <c r="Q17" s="140">
        <f>P17</f>
        <v>0.51929203539823</v>
      </c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8"/>
      <c r="BH17" s="138"/>
      <c r="BI17" s="138"/>
      <c r="BJ17" s="138"/>
      <c r="BK17" s="138"/>
      <c r="BL17" s="138"/>
      <c r="BM17" s="138"/>
      <c r="BN17" s="138"/>
      <c r="BO17" s="138"/>
      <c r="BP17" s="138"/>
      <c r="BQ17" s="138"/>
      <c r="BR17" s="138"/>
      <c r="BS17" s="138"/>
      <c r="BT17" s="138"/>
      <c r="BU17" s="138"/>
      <c r="BV17" s="138"/>
      <c r="BW17" s="138"/>
      <c r="BX17" s="138"/>
      <c r="BY17" s="138"/>
      <c r="BZ17" s="138"/>
      <c r="CA17" s="138"/>
      <c r="CB17" s="138"/>
      <c r="CC17" s="138"/>
      <c r="CD17" s="138"/>
      <c r="CE17" s="138"/>
      <c r="CF17" s="138"/>
      <c r="CG17" s="138"/>
      <c r="CH17" s="138"/>
      <c r="CI17" s="138"/>
      <c r="CJ17" s="138"/>
      <c r="CK17" s="138"/>
      <c r="CL17" s="138"/>
      <c r="CM17" s="138"/>
      <c r="CN17" s="138"/>
      <c r="CO17" s="138"/>
      <c r="CP17" s="138"/>
      <c r="CQ17" s="138"/>
      <c r="CR17" s="138"/>
      <c r="CS17" s="138"/>
      <c r="CT17" s="138"/>
      <c r="CU17" s="138"/>
      <c r="CV17" s="138"/>
      <c r="CW17" s="138"/>
      <c r="CX17" s="138"/>
      <c r="CY17" s="138"/>
      <c r="CZ17" s="138"/>
      <c r="DA17" s="138"/>
      <c r="DB17" s="138"/>
      <c r="DC17" s="138"/>
      <c r="DD17" s="138"/>
      <c r="DE17" s="138"/>
      <c r="DF17" s="138"/>
      <c r="DG17" s="138"/>
      <c r="DH17" s="138"/>
      <c r="DI17" s="138"/>
      <c r="DJ17" s="138"/>
      <c r="DK17" s="138"/>
      <c r="DL17" s="138"/>
      <c r="DM17" s="138"/>
      <c r="DN17" s="138"/>
      <c r="DO17" s="138"/>
      <c r="DP17" s="138"/>
      <c r="DQ17" s="138"/>
      <c r="DR17" s="138"/>
      <c r="DS17" s="138"/>
      <c r="DT17" s="138"/>
      <c r="DU17" s="138"/>
      <c r="DV17" s="138"/>
      <c r="DW17" s="138"/>
      <c r="DX17" s="138"/>
      <c r="DY17" s="138"/>
      <c r="DZ17" s="138"/>
      <c r="EA17" s="138"/>
      <c r="EB17" s="138"/>
      <c r="EC17" s="138"/>
      <c r="ED17" s="138"/>
      <c r="EE17" s="138"/>
      <c r="EF17" s="138"/>
      <c r="EG17" s="138"/>
      <c r="EH17" s="138"/>
      <c r="EI17" s="138"/>
      <c r="EJ17" s="138"/>
      <c r="EK17" s="138"/>
      <c r="EL17" s="138"/>
      <c r="EM17" s="138"/>
      <c r="EN17" s="138"/>
      <c r="EO17" s="138"/>
      <c r="EP17" s="138"/>
      <c r="EQ17" s="138"/>
      <c r="ER17" s="138"/>
      <c r="ES17" s="138"/>
      <c r="ET17" s="138"/>
      <c r="EU17" s="138"/>
      <c r="EV17" s="138"/>
      <c r="EW17" s="138"/>
      <c r="EX17" s="138"/>
      <c r="EY17" s="138"/>
      <c r="EZ17" s="138"/>
      <c r="FA17" s="138"/>
      <c r="FB17" s="138"/>
      <c r="FC17" s="138"/>
      <c r="FD17" s="138"/>
      <c r="FE17" s="138"/>
      <c r="FF17" s="138"/>
      <c r="FG17" s="138"/>
      <c r="FH17" s="138"/>
      <c r="FI17" s="138"/>
      <c r="FJ17" s="138"/>
      <c r="FK17" s="138"/>
      <c r="FL17" s="138"/>
      <c r="FM17" s="138"/>
      <c r="FN17" s="138"/>
      <c r="FO17" s="138"/>
      <c r="FP17" s="138"/>
      <c r="FQ17" s="138"/>
      <c r="FR17" s="138"/>
      <c r="FS17" s="138"/>
      <c r="FT17" s="138"/>
      <c r="FU17" s="138"/>
      <c r="FV17" s="138"/>
      <c r="FW17" s="138"/>
      <c r="FX17" s="138"/>
      <c r="FY17" s="138"/>
      <c r="FZ17" s="138"/>
      <c r="GA17" s="138"/>
      <c r="GB17" s="138"/>
      <c r="GC17" s="138"/>
      <c r="GD17" s="138"/>
      <c r="GE17" s="138"/>
      <c r="GF17" s="138"/>
      <c r="GG17" s="138"/>
      <c r="GH17" s="138"/>
      <c r="GI17" s="138"/>
      <c r="GJ17" s="138"/>
      <c r="GK17" s="138"/>
      <c r="GL17" s="138"/>
      <c r="GM17" s="138"/>
      <c r="GN17" s="138"/>
      <c r="GO17" s="138"/>
      <c r="GP17" s="138"/>
      <c r="GQ17" s="138"/>
      <c r="GR17" s="138"/>
      <c r="GS17" s="138"/>
      <c r="GT17" s="138"/>
      <c r="GU17" s="138"/>
      <c r="GV17" s="138"/>
      <c r="GW17" s="138"/>
      <c r="GX17" s="138"/>
      <c r="GY17" s="138"/>
      <c r="GZ17" s="138"/>
      <c r="HA17" s="138"/>
      <c r="HB17" s="138"/>
      <c r="HC17" s="138"/>
      <c r="HD17" s="138"/>
      <c r="HE17" s="138"/>
      <c r="HF17" s="138"/>
      <c r="HG17" s="138"/>
      <c r="HH17" s="2"/>
      <c r="HI17" s="2"/>
      <c r="HJ17" s="2"/>
      <c r="HK17" s="2"/>
    </row>
    <row r="18" s="124" customFormat="1" ht="17.15" customHeight="1" spans="2:228">
      <c r="B18" s="136"/>
      <c r="C18" s="38" t="s">
        <v>612</v>
      </c>
      <c r="D18" s="133">
        <f>输入参数!E13</f>
        <v>0.5868</v>
      </c>
      <c r="E18" s="57"/>
      <c r="F18" s="140">
        <f>D18</f>
        <v>0.5868</v>
      </c>
      <c r="G18" s="140">
        <f t="shared" si="6"/>
        <v>0.5868</v>
      </c>
      <c r="H18" s="140">
        <f>F18</f>
        <v>0.5868</v>
      </c>
      <c r="I18" s="140">
        <f t="shared" si="7"/>
        <v>0.5868</v>
      </c>
      <c r="J18" s="140">
        <f>H18</f>
        <v>0.5868</v>
      </c>
      <c r="K18" s="140">
        <f>J18</f>
        <v>0.5868</v>
      </c>
      <c r="L18" s="140">
        <f>J18</f>
        <v>0.5868</v>
      </c>
      <c r="M18" s="140">
        <f>L18</f>
        <v>0.5868</v>
      </c>
      <c r="N18" s="140">
        <f>L18</f>
        <v>0.5868</v>
      </c>
      <c r="O18" s="140">
        <f>N18</f>
        <v>0.5868</v>
      </c>
      <c r="P18" s="140">
        <f>O18</f>
        <v>0.5868</v>
      </c>
      <c r="Q18" s="140">
        <f>P18</f>
        <v>0.5868</v>
      </c>
      <c r="R18" s="138">
        <f>R15*Q18</f>
        <v>2181.25583788525</v>
      </c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8"/>
      <c r="BH18" s="138"/>
      <c r="BI18" s="138"/>
      <c r="BJ18" s="138"/>
      <c r="BK18" s="138"/>
      <c r="BL18" s="138"/>
      <c r="BM18" s="138"/>
      <c r="BN18" s="138"/>
      <c r="BO18" s="138"/>
      <c r="BP18" s="138"/>
      <c r="BQ18" s="138"/>
      <c r="BR18" s="138"/>
      <c r="BS18" s="138"/>
      <c r="BT18" s="138"/>
      <c r="BU18" s="138"/>
      <c r="BV18" s="138"/>
      <c r="BW18" s="138"/>
      <c r="BX18" s="138"/>
      <c r="BY18" s="138"/>
      <c r="BZ18" s="138"/>
      <c r="CA18" s="138"/>
      <c r="CB18" s="138"/>
      <c r="CC18" s="138"/>
      <c r="CD18" s="138"/>
      <c r="CE18" s="138"/>
      <c r="CF18" s="138"/>
      <c r="CG18" s="138"/>
      <c r="CH18" s="138"/>
      <c r="CI18" s="138"/>
      <c r="CJ18" s="138"/>
      <c r="CK18" s="138"/>
      <c r="CL18" s="138"/>
      <c r="CM18" s="138"/>
      <c r="CN18" s="138"/>
      <c r="CO18" s="138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8"/>
      <c r="DA18" s="138"/>
      <c r="DB18" s="138"/>
      <c r="DC18" s="138"/>
      <c r="DD18" s="138"/>
      <c r="DE18" s="138"/>
      <c r="DF18" s="138"/>
      <c r="DG18" s="138"/>
      <c r="DH18" s="138"/>
      <c r="DI18" s="138"/>
      <c r="DJ18" s="138"/>
      <c r="DK18" s="138"/>
      <c r="DL18" s="138"/>
      <c r="DM18" s="138"/>
      <c r="DN18" s="138"/>
      <c r="DO18" s="138"/>
      <c r="DP18" s="138"/>
      <c r="DQ18" s="138"/>
      <c r="DR18" s="138"/>
      <c r="DS18" s="138"/>
      <c r="DT18" s="138"/>
      <c r="DU18" s="138"/>
      <c r="DV18" s="138"/>
      <c r="DW18" s="138"/>
      <c r="DX18" s="138"/>
      <c r="DY18" s="138"/>
      <c r="DZ18" s="138"/>
      <c r="EA18" s="138"/>
      <c r="EB18" s="138"/>
      <c r="EC18" s="138"/>
      <c r="ED18" s="138"/>
      <c r="EE18" s="138"/>
      <c r="EF18" s="138"/>
      <c r="EG18" s="138"/>
      <c r="EH18" s="138"/>
      <c r="EI18" s="138"/>
      <c r="EJ18" s="138"/>
      <c r="EK18" s="138"/>
      <c r="EL18" s="138"/>
      <c r="EM18" s="138"/>
      <c r="EN18" s="138"/>
      <c r="EO18" s="138"/>
      <c r="EP18" s="138"/>
      <c r="EQ18" s="138"/>
      <c r="ER18" s="138"/>
      <c r="ES18" s="138"/>
      <c r="ET18" s="138"/>
      <c r="EU18" s="138"/>
      <c r="EV18" s="138"/>
      <c r="EW18" s="138"/>
      <c r="EX18" s="138"/>
      <c r="EY18" s="138"/>
      <c r="EZ18" s="138"/>
      <c r="FA18" s="138"/>
      <c r="FB18" s="138"/>
      <c r="FC18" s="138"/>
      <c r="FD18" s="138"/>
      <c r="FE18" s="138"/>
      <c r="FF18" s="138"/>
      <c r="FG18" s="138"/>
      <c r="FH18" s="138"/>
      <c r="FI18" s="138"/>
      <c r="FJ18" s="138"/>
      <c r="FK18" s="138"/>
      <c r="FL18" s="138"/>
      <c r="FM18" s="138"/>
      <c r="FN18" s="138"/>
      <c r="FO18" s="138"/>
      <c r="FP18" s="138"/>
      <c r="FQ18" s="138"/>
      <c r="FR18" s="138"/>
      <c r="FS18" s="138"/>
      <c r="FT18" s="138"/>
      <c r="FU18" s="138"/>
      <c r="FV18" s="138"/>
      <c r="FW18" s="138"/>
      <c r="FX18" s="138"/>
      <c r="FY18" s="138"/>
      <c r="FZ18" s="138"/>
      <c r="GA18" s="138"/>
      <c r="GB18" s="138"/>
      <c r="GC18" s="138"/>
      <c r="GD18" s="138"/>
      <c r="GE18" s="138"/>
      <c r="GF18" s="138"/>
      <c r="GG18" s="138"/>
      <c r="GH18" s="138"/>
      <c r="GI18" s="138"/>
      <c r="GJ18" s="138"/>
      <c r="GK18" s="138"/>
      <c r="GL18" s="138"/>
      <c r="GM18" s="138"/>
      <c r="GN18" s="138"/>
      <c r="GO18" s="138"/>
      <c r="GP18" s="138"/>
      <c r="GQ18" s="138"/>
      <c r="GR18" s="138"/>
      <c r="GS18" s="138"/>
      <c r="GT18" s="138"/>
      <c r="GU18" s="138"/>
      <c r="GV18" s="138"/>
      <c r="GW18" s="138"/>
      <c r="GX18" s="138"/>
      <c r="GY18" s="138"/>
      <c r="GZ18" s="138"/>
      <c r="HA18" s="138"/>
      <c r="HB18" s="138"/>
      <c r="HC18" s="138"/>
      <c r="HD18" s="138"/>
      <c r="HE18" s="138"/>
      <c r="HF18" s="138"/>
      <c r="HG18" s="138"/>
      <c r="HH18" s="2"/>
      <c r="HI18" s="2"/>
      <c r="HJ18" s="2"/>
      <c r="HK18" s="2"/>
    </row>
    <row r="19" s="124" customFormat="1" ht="17.15" customHeight="1" spans="2:228">
      <c r="B19" s="136"/>
      <c r="C19" s="131" t="s">
        <v>613</v>
      </c>
      <c r="D19" s="133"/>
      <c r="E19" s="57"/>
      <c r="F19" s="41">
        <f>F20/1.13</f>
        <v>884.955752212389</v>
      </c>
      <c r="G19" s="41">
        <f t="shared" si="6"/>
        <v>884.955752212389</v>
      </c>
      <c r="H19" s="41">
        <f>F19</f>
        <v>884.955752212389</v>
      </c>
      <c r="I19" s="41">
        <f t="shared" si="7"/>
        <v>884.955752212389</v>
      </c>
      <c r="J19" s="41">
        <f>H19</f>
        <v>884.955752212389</v>
      </c>
      <c r="K19" s="41">
        <f>J19</f>
        <v>884.955752212389</v>
      </c>
      <c r="L19" s="41">
        <f>J19</f>
        <v>884.955752212389</v>
      </c>
      <c r="M19" s="41">
        <f>L19</f>
        <v>884.955752212389</v>
      </c>
      <c r="N19" s="41">
        <f>L19</f>
        <v>884.955752212389</v>
      </c>
      <c r="O19" s="41">
        <f>N19</f>
        <v>884.955752212389</v>
      </c>
      <c r="P19" s="41">
        <f>O19</f>
        <v>884.955752212389</v>
      </c>
      <c r="Q19" s="41">
        <f>P19</f>
        <v>884.955752212389</v>
      </c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/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/>
      <c r="CH19" s="138"/>
      <c r="CI19" s="138"/>
      <c r="CJ19" s="138"/>
      <c r="CK19" s="138"/>
      <c r="CL19" s="138"/>
      <c r="CM19" s="138"/>
      <c r="CN19" s="138"/>
      <c r="CO19" s="138"/>
      <c r="CP19" s="138"/>
      <c r="CQ19" s="138"/>
      <c r="CR19" s="138"/>
      <c r="CS19" s="138"/>
      <c r="CT19" s="138"/>
      <c r="CU19" s="138"/>
      <c r="CV19" s="138"/>
      <c r="CW19" s="138"/>
      <c r="CX19" s="138"/>
      <c r="CY19" s="138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8"/>
      <c r="DL19" s="138"/>
      <c r="DM19" s="138"/>
      <c r="DN19" s="138"/>
      <c r="DO19" s="138"/>
      <c r="DP19" s="138"/>
      <c r="DQ19" s="138"/>
      <c r="DR19" s="138"/>
      <c r="DS19" s="138"/>
      <c r="DT19" s="138"/>
      <c r="DU19" s="138"/>
      <c r="DV19" s="138"/>
      <c r="DW19" s="138"/>
      <c r="DX19" s="138"/>
      <c r="DY19" s="138"/>
      <c r="DZ19" s="138"/>
      <c r="EA19" s="138"/>
      <c r="EB19" s="138"/>
      <c r="EC19" s="138"/>
      <c r="ED19" s="138"/>
      <c r="EE19" s="138"/>
      <c r="EF19" s="138"/>
      <c r="EG19" s="138"/>
      <c r="EH19" s="138"/>
      <c r="EI19" s="138"/>
      <c r="EJ19" s="138"/>
      <c r="EK19" s="138"/>
      <c r="EL19" s="138"/>
      <c r="EM19" s="138"/>
      <c r="EN19" s="138"/>
      <c r="EO19" s="138"/>
      <c r="EP19" s="138"/>
      <c r="EQ19" s="138"/>
      <c r="ER19" s="138"/>
      <c r="ES19" s="138"/>
      <c r="ET19" s="138"/>
      <c r="EU19" s="138"/>
      <c r="EV19" s="138"/>
      <c r="EW19" s="138"/>
      <c r="EX19" s="138"/>
      <c r="EY19" s="138"/>
      <c r="EZ19" s="138"/>
      <c r="FA19" s="138"/>
      <c r="FB19" s="138"/>
      <c r="FC19" s="138"/>
      <c r="FD19" s="138"/>
      <c r="FE19" s="138"/>
      <c r="FF19" s="138"/>
      <c r="FG19" s="138"/>
      <c r="FH19" s="138"/>
      <c r="FI19" s="138"/>
      <c r="FJ19" s="138"/>
      <c r="FK19" s="138"/>
      <c r="FL19" s="138"/>
      <c r="FM19" s="138"/>
      <c r="FN19" s="138"/>
      <c r="FO19" s="138"/>
      <c r="FP19" s="138"/>
      <c r="FQ19" s="138"/>
      <c r="FR19" s="138"/>
      <c r="FS19" s="138"/>
      <c r="FT19" s="138"/>
      <c r="FU19" s="138"/>
      <c r="FV19" s="138"/>
      <c r="FW19" s="138"/>
      <c r="FX19" s="138"/>
      <c r="FY19" s="138"/>
      <c r="FZ19" s="138"/>
      <c r="GA19" s="138"/>
      <c r="GB19" s="138"/>
      <c r="GC19" s="138"/>
      <c r="GD19" s="138"/>
      <c r="GE19" s="138"/>
      <c r="GF19" s="138"/>
      <c r="GG19" s="138"/>
      <c r="GH19" s="138"/>
      <c r="GI19" s="138"/>
      <c r="GJ19" s="138"/>
      <c r="GK19" s="138"/>
      <c r="GL19" s="138"/>
      <c r="GM19" s="138"/>
      <c r="GN19" s="138"/>
      <c r="GO19" s="138"/>
      <c r="GP19" s="138"/>
      <c r="GQ19" s="138"/>
      <c r="GR19" s="138"/>
      <c r="GS19" s="138"/>
      <c r="GT19" s="138"/>
      <c r="GU19" s="138"/>
      <c r="GV19" s="138"/>
      <c r="GW19" s="138"/>
      <c r="GX19" s="138"/>
      <c r="GY19" s="138"/>
      <c r="GZ19" s="138"/>
      <c r="HA19" s="138"/>
      <c r="HB19" s="138"/>
      <c r="HC19" s="138"/>
      <c r="HD19" s="138"/>
      <c r="HE19" s="138"/>
      <c r="HF19" s="138"/>
      <c r="HG19" s="138"/>
      <c r="HH19" s="2"/>
      <c r="HI19" s="2"/>
      <c r="HJ19" s="2"/>
      <c r="HK19" s="2"/>
    </row>
    <row r="20" s="124" customFormat="1" ht="17.15" customHeight="1" spans="2:228">
      <c r="B20" s="136"/>
      <c r="C20" s="131" t="s">
        <v>614</v>
      </c>
      <c r="D20" s="133"/>
      <c r="E20" s="57"/>
      <c r="F20" s="41">
        <v>1000</v>
      </c>
      <c r="G20" s="41">
        <f t="shared" si="6"/>
        <v>1000</v>
      </c>
      <c r="H20" s="41">
        <f>G20</f>
        <v>1000</v>
      </c>
      <c r="I20" s="41">
        <f t="shared" ref="I20:Q20" si="8">H20</f>
        <v>1000</v>
      </c>
      <c r="J20" s="41">
        <f t="shared" si="8"/>
        <v>1000</v>
      </c>
      <c r="K20" s="41">
        <f t="shared" si="8"/>
        <v>1000</v>
      </c>
      <c r="L20" s="41">
        <f t="shared" si="8"/>
        <v>1000</v>
      </c>
      <c r="M20" s="41">
        <f t="shared" si="8"/>
        <v>1000</v>
      </c>
      <c r="N20" s="41">
        <f t="shared" si="8"/>
        <v>1000</v>
      </c>
      <c r="O20" s="41">
        <v>1000</v>
      </c>
      <c r="P20" s="41">
        <v>1000</v>
      </c>
      <c r="Q20" s="41">
        <v>1000</v>
      </c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8"/>
      <c r="BH20" s="138"/>
      <c r="BI20" s="138"/>
      <c r="BJ20" s="138"/>
      <c r="BK20" s="138"/>
      <c r="BL20" s="138"/>
      <c r="BM20" s="138"/>
      <c r="BN20" s="138"/>
      <c r="BO20" s="138"/>
      <c r="BP20" s="138"/>
      <c r="BQ20" s="138"/>
      <c r="BR20" s="138"/>
      <c r="BS20" s="138"/>
      <c r="BT20" s="138"/>
      <c r="BU20" s="138"/>
      <c r="BV20" s="138"/>
      <c r="BW20" s="138"/>
      <c r="BX20" s="138"/>
      <c r="BY20" s="138"/>
      <c r="BZ20" s="138"/>
      <c r="CA20" s="138"/>
      <c r="CB20" s="138"/>
      <c r="CC20" s="138"/>
      <c r="CD20" s="138"/>
      <c r="CE20" s="138"/>
      <c r="CF20" s="138"/>
      <c r="CG20" s="138"/>
      <c r="CH20" s="138"/>
      <c r="CI20" s="138"/>
      <c r="CJ20" s="138"/>
      <c r="CK20" s="138"/>
      <c r="CL20" s="138"/>
      <c r="CM20" s="138"/>
      <c r="CN20" s="138"/>
      <c r="CO20" s="138"/>
      <c r="CP20" s="138"/>
      <c r="CQ20" s="138"/>
      <c r="CR20" s="138"/>
      <c r="CS20" s="138"/>
      <c r="CT20" s="138"/>
      <c r="CU20" s="138"/>
      <c r="CV20" s="138"/>
      <c r="CW20" s="138"/>
      <c r="CX20" s="138"/>
      <c r="CY20" s="138"/>
      <c r="CZ20" s="138"/>
      <c r="DA20" s="138"/>
      <c r="DB20" s="138"/>
      <c r="DC20" s="138"/>
      <c r="DD20" s="138"/>
      <c r="DE20" s="138"/>
      <c r="DF20" s="138"/>
      <c r="DG20" s="138"/>
      <c r="DH20" s="138"/>
      <c r="DI20" s="138"/>
      <c r="DJ20" s="138"/>
      <c r="DK20" s="138"/>
      <c r="DL20" s="138"/>
      <c r="DM20" s="138"/>
      <c r="DN20" s="138"/>
      <c r="DO20" s="138"/>
      <c r="DP20" s="138"/>
      <c r="DQ20" s="138"/>
      <c r="DR20" s="138"/>
      <c r="DS20" s="138"/>
      <c r="DT20" s="138"/>
      <c r="DU20" s="138"/>
      <c r="DV20" s="138"/>
      <c r="DW20" s="138"/>
      <c r="DX20" s="138"/>
      <c r="DY20" s="138"/>
      <c r="DZ20" s="138"/>
      <c r="EA20" s="138"/>
      <c r="EB20" s="138"/>
      <c r="EC20" s="138"/>
      <c r="ED20" s="138"/>
      <c r="EE20" s="138"/>
      <c r="EF20" s="138"/>
      <c r="EG20" s="138"/>
      <c r="EH20" s="138"/>
      <c r="EI20" s="138"/>
      <c r="EJ20" s="138"/>
      <c r="EK20" s="138"/>
      <c r="EL20" s="138"/>
      <c r="EM20" s="138"/>
      <c r="EN20" s="138"/>
      <c r="EO20" s="138"/>
      <c r="EP20" s="138"/>
      <c r="EQ20" s="138"/>
      <c r="ER20" s="138"/>
      <c r="ES20" s="138"/>
      <c r="ET20" s="138"/>
      <c r="EU20" s="138"/>
      <c r="EV20" s="138"/>
      <c r="EW20" s="138"/>
      <c r="EX20" s="138"/>
      <c r="EY20" s="138"/>
      <c r="EZ20" s="138"/>
      <c r="FA20" s="138"/>
      <c r="FB20" s="138"/>
      <c r="FC20" s="138"/>
      <c r="FD20" s="138"/>
      <c r="FE20" s="138"/>
      <c r="FF20" s="138"/>
      <c r="FG20" s="138"/>
      <c r="FH20" s="138"/>
      <c r="FI20" s="138"/>
      <c r="FJ20" s="138"/>
      <c r="FK20" s="138"/>
      <c r="FL20" s="138"/>
      <c r="FM20" s="138"/>
      <c r="FN20" s="138"/>
      <c r="FO20" s="138"/>
      <c r="FP20" s="138"/>
      <c r="FQ20" s="138"/>
      <c r="FR20" s="138"/>
      <c r="FS20" s="138"/>
      <c r="FT20" s="138"/>
      <c r="FU20" s="138"/>
      <c r="FV20" s="138"/>
      <c r="FW20" s="138"/>
      <c r="FX20" s="138"/>
      <c r="FY20" s="138"/>
      <c r="FZ20" s="138"/>
      <c r="GA20" s="138"/>
      <c r="GB20" s="138"/>
      <c r="GC20" s="138"/>
      <c r="GD20" s="138"/>
      <c r="GE20" s="138"/>
      <c r="GF20" s="138"/>
      <c r="GG20" s="138"/>
      <c r="GH20" s="138"/>
      <c r="GI20" s="138"/>
      <c r="GJ20" s="138"/>
      <c r="GK20" s="138"/>
      <c r="GL20" s="138"/>
      <c r="GM20" s="138"/>
      <c r="GN20" s="138"/>
      <c r="GO20" s="138"/>
      <c r="GP20" s="138"/>
      <c r="GQ20" s="138"/>
      <c r="GR20" s="138"/>
      <c r="GS20" s="138"/>
      <c r="GT20" s="138"/>
      <c r="GU20" s="138"/>
      <c r="GV20" s="138"/>
      <c r="GW20" s="138"/>
      <c r="GX20" s="138"/>
      <c r="GY20" s="138"/>
      <c r="GZ20" s="138"/>
      <c r="HA20" s="138"/>
      <c r="HB20" s="138"/>
      <c r="HC20" s="138"/>
      <c r="HD20" s="138"/>
      <c r="HE20" s="138"/>
      <c r="HF20" s="138"/>
      <c r="HG20" s="138"/>
      <c r="HH20" s="2"/>
      <c r="HI20" s="2"/>
      <c r="HJ20" s="2"/>
      <c r="HK20" s="2"/>
    </row>
    <row r="21" s="125" customFormat="1" ht="17.15" customHeight="1" spans="2:228">
      <c r="B21" s="141"/>
      <c r="C21" s="142" t="s">
        <v>615</v>
      </c>
      <c r="D21" s="143"/>
      <c r="E21" s="130"/>
      <c r="F21" s="130">
        <f>200*400*30/10000</f>
        <v>240</v>
      </c>
      <c r="G21" s="130">
        <f t="shared" si="6"/>
        <v>240</v>
      </c>
      <c r="H21" s="130">
        <f t="shared" ref="H21:Q21" si="9">G21</f>
        <v>240</v>
      </c>
      <c r="I21" s="130">
        <f t="shared" si="9"/>
        <v>240</v>
      </c>
      <c r="J21" s="130">
        <f t="shared" si="9"/>
        <v>240</v>
      </c>
      <c r="K21" s="130">
        <f t="shared" si="9"/>
        <v>240</v>
      </c>
      <c r="L21" s="130">
        <f t="shared" si="9"/>
        <v>240</v>
      </c>
      <c r="M21" s="130">
        <f t="shared" si="9"/>
        <v>240</v>
      </c>
      <c r="N21" s="130">
        <f t="shared" si="9"/>
        <v>240</v>
      </c>
      <c r="O21" s="130">
        <f t="shared" si="9"/>
        <v>240</v>
      </c>
      <c r="P21" s="130">
        <f t="shared" si="9"/>
        <v>240</v>
      </c>
      <c r="Q21" s="130">
        <f t="shared" si="9"/>
        <v>240</v>
      </c>
    </row>
    <row r="22" s="70" customFormat="1" ht="17.15" customHeight="1" spans="2:228">
      <c r="B22" s="54"/>
      <c r="C22" s="142" t="s">
        <v>616</v>
      </c>
      <c r="D22" s="58"/>
      <c r="E22" s="144"/>
      <c r="F22" s="130">
        <v>2000</v>
      </c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</row>
    <row r="23" s="70" customFormat="1" ht="17.15" customHeight="1" spans="2:228">
      <c r="B23" s="54">
        <v>1</v>
      </c>
      <c r="C23" s="37" t="s">
        <v>617</v>
      </c>
      <c r="D23" s="145">
        <f>SUM(E23:Q23)</f>
        <v>43055.0700546229</v>
      </c>
      <c r="E23" s="144"/>
      <c r="F23" s="144">
        <f>F15*F18+F20+F21+F22</f>
        <v>5596.83852668852</v>
      </c>
      <c r="G23" s="144">
        <f>G15*G18+G20+G21</f>
        <v>3552.74801003279</v>
      </c>
      <c r="H23" s="144">
        <f t="shared" ref="G23:Y23" si="10">H15*H18+H20+H21</f>
        <v>3512.66572216393</v>
      </c>
      <c r="I23" s="144">
        <f t="shared" si="10"/>
        <v>3483.27204439344</v>
      </c>
      <c r="J23" s="144">
        <f t="shared" si="10"/>
        <v>3449.87013783607</v>
      </c>
      <c r="K23" s="144">
        <f t="shared" si="10"/>
        <v>3425.82076511475</v>
      </c>
      <c r="L23" s="144">
        <f t="shared" si="10"/>
        <v>3396.42708734426</v>
      </c>
      <c r="M23" s="144">
        <f t="shared" si="10"/>
        <v>3375.04986714754</v>
      </c>
      <c r="N23" s="144">
        <f t="shared" si="10"/>
        <v>3345.65618937705</v>
      </c>
      <c r="O23" s="144">
        <f t="shared" si="10"/>
        <v>3328.28719796721</v>
      </c>
      <c r="P23" s="144">
        <f t="shared" si="10"/>
        <v>3302.90174898361</v>
      </c>
      <c r="Q23" s="144">
        <f t="shared" si="10"/>
        <v>3285.53275757377</v>
      </c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146"/>
      <c r="HI23" s="146"/>
      <c r="HJ23" s="146"/>
      <c r="HK23" s="146"/>
      <c r="HL23" s="146"/>
      <c r="HM23" s="146"/>
      <c r="HN23" s="146"/>
      <c r="HO23" s="146"/>
      <c r="HP23" s="146"/>
      <c r="HQ23" s="146"/>
      <c r="HR23" s="146"/>
      <c r="HS23" s="146"/>
      <c r="HT23" s="146"/>
    </row>
    <row r="24" s="70" customFormat="1" ht="17.15" customHeight="1" spans="2:228">
      <c r="B24" s="54"/>
      <c r="C24" s="38" t="s">
        <v>32</v>
      </c>
      <c r="D24" s="58">
        <f>SUM(E24:Q24)</f>
        <v>0</v>
      </c>
      <c r="E24" s="144"/>
      <c r="F24" s="58">
        <v>0</v>
      </c>
      <c r="G24" s="58">
        <f>F24</f>
        <v>0</v>
      </c>
      <c r="H24" s="58">
        <f t="shared" ref="H24:Y24" si="11">G24</f>
        <v>0</v>
      </c>
      <c r="I24" s="58">
        <f t="shared" si="11"/>
        <v>0</v>
      </c>
      <c r="J24" s="58">
        <f t="shared" si="11"/>
        <v>0</v>
      </c>
      <c r="K24" s="58">
        <f t="shared" si="11"/>
        <v>0</v>
      </c>
      <c r="L24" s="58">
        <f t="shared" si="11"/>
        <v>0</v>
      </c>
      <c r="M24" s="58">
        <f t="shared" si="11"/>
        <v>0</v>
      </c>
      <c r="N24" s="58">
        <f t="shared" si="11"/>
        <v>0</v>
      </c>
      <c r="O24" s="58">
        <f t="shared" si="11"/>
        <v>0</v>
      </c>
      <c r="P24" s="58">
        <f t="shared" si="11"/>
        <v>0</v>
      </c>
      <c r="Q24" s="58">
        <f t="shared" si="11"/>
        <v>0</v>
      </c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</row>
    <row r="25" s="70" customFormat="1" ht="17.15" customHeight="1" spans="2:228">
      <c r="B25" s="54">
        <v>2</v>
      </c>
      <c r="C25" s="37" t="s">
        <v>618</v>
      </c>
      <c r="D25" s="58">
        <f>SUM(E25:Q25)</f>
        <v>38101.831906746</v>
      </c>
      <c r="E25" s="144"/>
      <c r="F25" s="144">
        <f>(F15*F18+F21+F20+F22)/1.13</f>
        <v>4952.95444839692</v>
      </c>
      <c r="G25" s="144">
        <f>G23/1.13</f>
        <v>3144.02478763963</v>
      </c>
      <c r="H25" s="144">
        <f t="shared" ref="H25:Y25" si="12">H23/1.13</f>
        <v>3108.55373642826</v>
      </c>
      <c r="I25" s="144">
        <f t="shared" si="12"/>
        <v>3082.54163220659</v>
      </c>
      <c r="J25" s="144">
        <f t="shared" si="12"/>
        <v>3052.98242286378</v>
      </c>
      <c r="K25" s="144">
        <f t="shared" si="12"/>
        <v>3031.69979213695</v>
      </c>
      <c r="L25" s="144">
        <f t="shared" si="12"/>
        <v>3005.68768791528</v>
      </c>
      <c r="M25" s="144">
        <f t="shared" si="12"/>
        <v>2986.76979393588</v>
      </c>
      <c r="N25" s="144">
        <f t="shared" si="12"/>
        <v>2960.7576897142</v>
      </c>
      <c r="O25" s="144">
        <f t="shared" si="12"/>
        <v>2945.38690085594</v>
      </c>
      <c r="P25" s="144">
        <f t="shared" si="12"/>
        <v>2922.92190175541</v>
      </c>
      <c r="Q25" s="144">
        <f t="shared" si="12"/>
        <v>2907.55111289714</v>
      </c>
      <c r="R25" s="70">
        <f>D25/12</f>
        <v>3175.1526588955</v>
      </c>
    </row>
    <row r="26" ht="17.15" customHeight="1" spans="2:228">
      <c r="B26" s="56">
        <v>3</v>
      </c>
      <c r="C26" s="37" t="s">
        <v>619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ht="17.15" customHeight="1" spans="2:228">
      <c r="B27" s="56"/>
      <c r="C27" s="38" t="s">
        <v>620</v>
      </c>
      <c r="D27" s="58">
        <f>SUM(E27:Q27)</f>
        <v>4953.23814787697</v>
      </c>
      <c r="E27" s="58">
        <v>0</v>
      </c>
      <c r="F27" s="58">
        <f>F23-F25</f>
        <v>643.8840782916</v>
      </c>
      <c r="G27" s="58">
        <f t="shared" ref="G27:Y27" si="13">G23-G25</f>
        <v>408.723222393152</v>
      </c>
      <c r="H27" s="58">
        <f t="shared" si="13"/>
        <v>404.111985735673</v>
      </c>
      <c r="I27" s="58">
        <f t="shared" si="13"/>
        <v>400.730412186856</v>
      </c>
      <c r="J27" s="58">
        <f t="shared" si="13"/>
        <v>396.887714972291</v>
      </c>
      <c r="K27" s="58">
        <f t="shared" si="13"/>
        <v>394.120972977803</v>
      </c>
      <c r="L27" s="58">
        <f t="shared" si="13"/>
        <v>390.739399428986</v>
      </c>
      <c r="M27" s="58">
        <f t="shared" si="13"/>
        <v>388.280073211664</v>
      </c>
      <c r="N27" s="58">
        <f t="shared" si="13"/>
        <v>384.898499662846</v>
      </c>
      <c r="O27" s="58">
        <f t="shared" si="13"/>
        <v>382.900297111272</v>
      </c>
      <c r="P27" s="58">
        <f t="shared" si="13"/>
        <v>379.979847228202</v>
      </c>
      <c r="Q27" s="58">
        <f t="shared" si="13"/>
        <v>377.981644676628</v>
      </c>
    </row>
    <row r="28" ht="17.15" customHeight="1" spans="2:228">
      <c r="B28" s="56"/>
      <c r="C28" s="38" t="s">
        <v>621</v>
      </c>
      <c r="D28" s="58">
        <f>SUM(E28:Q28)</f>
        <v>2742.47140491139</v>
      </c>
      <c r="E28" s="58"/>
      <c r="F28" s="58">
        <f>IF(F27&gt;F45,IF(F45&lt;=0,0,F45),F27)</f>
        <v>643.8840782916</v>
      </c>
      <c r="G28" s="58">
        <f>IF(G27&gt;G45,IF(G45&lt;=0,0,G45),G27)</f>
        <v>408.723222393152</v>
      </c>
      <c r="H28" s="58">
        <f>IF(H27&gt;H45,IF(H45&lt;=0,0,H45),H27)</f>
        <v>390.669932603249</v>
      </c>
      <c r="I28" s="58">
        <f>'表6-运营成本费用表'!I15/1.13*0.13</f>
        <v>151.535047874655</v>
      </c>
      <c r="J28" s="58">
        <f>'表6-运营成本费用表'!J15/1.13*0.13</f>
        <v>149.27871899028</v>
      </c>
      <c r="K28" s="58">
        <f>'表6-运营成本费用表'!K15/1.13*0.13</f>
        <v>147.65416219353</v>
      </c>
      <c r="L28" s="58">
        <f>'表6-运营成本费用表'!L15/1.13*0.13</f>
        <v>145.668592775279</v>
      </c>
      <c r="M28" s="58">
        <f>'表6-运营成本费用表'!M15/1.13*0.13</f>
        <v>144.224542289279</v>
      </c>
      <c r="N28" s="58">
        <f>'表6-运营成本费用表'!N15/1.13*0.13</f>
        <v>142.238972871029</v>
      </c>
      <c r="O28" s="58">
        <f>'表6-运营成本费用表'!O15/1.13*0.13</f>
        <v>141.065681851153</v>
      </c>
      <c r="P28" s="58">
        <f>'表6-运营成本费用表'!P15/1.13*0.13</f>
        <v>139.350871899028</v>
      </c>
      <c r="Q28" s="58">
        <f>'表6-运营成本费用表'!Q15/1.13*0.13</f>
        <v>138.177580879153</v>
      </c>
    </row>
    <row r="29" ht="17.15" customHeight="1" spans="2:228">
      <c r="B29" s="56"/>
      <c r="C29" s="38" t="s">
        <v>622</v>
      </c>
      <c r="D29" s="58">
        <f>SUM(E29:Q29)</f>
        <v>2210.76674296559</v>
      </c>
      <c r="E29" s="58">
        <v>0</v>
      </c>
      <c r="F29" s="58">
        <f>F27-F28</f>
        <v>0</v>
      </c>
      <c r="G29" s="58">
        <f>G27-G28</f>
        <v>0</v>
      </c>
      <c r="H29" s="58">
        <f t="shared" ref="H29:Y29" si="14">H27-H28</f>
        <v>13.4420531324247</v>
      </c>
      <c r="I29" s="58">
        <f t="shared" si="14"/>
        <v>249.195364312201</v>
      </c>
      <c r="J29" s="58">
        <f t="shared" si="14"/>
        <v>247.608995982011</v>
      </c>
      <c r="K29" s="58">
        <f t="shared" si="14"/>
        <v>246.466810784273</v>
      </c>
      <c r="L29" s="58">
        <f t="shared" si="14"/>
        <v>245.070806653706</v>
      </c>
      <c r="M29" s="58">
        <f t="shared" si="14"/>
        <v>244.055530922385</v>
      </c>
      <c r="N29" s="58">
        <f t="shared" si="14"/>
        <v>242.659526791817</v>
      </c>
      <c r="O29" s="58">
        <f t="shared" si="14"/>
        <v>241.834615260119</v>
      </c>
      <c r="P29" s="58">
        <f t="shared" si="14"/>
        <v>240.628975329174</v>
      </c>
      <c r="Q29" s="58">
        <f t="shared" si="14"/>
        <v>239.804063797475</v>
      </c>
    </row>
    <row r="30" s="70" customFormat="1" ht="17.15" customHeight="1" spans="2:228">
      <c r="B30" s="54">
        <v>4</v>
      </c>
      <c r="C30" s="37" t="s">
        <v>623</v>
      </c>
      <c r="D30" s="58">
        <f t="shared" ref="D30:D43" si="15">SUM(E30:Q30)</f>
        <v>265.29200915587</v>
      </c>
      <c r="E30" s="144"/>
      <c r="F30" s="144">
        <f>F29*F31</f>
        <v>0</v>
      </c>
      <c r="G30" s="144">
        <f>G29*G31</f>
        <v>0</v>
      </c>
      <c r="H30" s="144">
        <f>H29*H31</f>
        <v>1.61304637589096</v>
      </c>
      <c r="I30" s="144">
        <f t="shared" ref="H30:Y30" si="16">I29*I31</f>
        <v>29.9034437174641</v>
      </c>
      <c r="J30" s="144">
        <f t="shared" si="16"/>
        <v>29.7130795178413</v>
      </c>
      <c r="K30" s="144">
        <f t="shared" si="16"/>
        <v>29.5760172941128</v>
      </c>
      <c r="L30" s="144">
        <f t="shared" si="16"/>
        <v>29.4084967984447</v>
      </c>
      <c r="M30" s="144">
        <f t="shared" si="16"/>
        <v>29.2866637106862</v>
      </c>
      <c r="N30" s="144">
        <f t="shared" si="16"/>
        <v>29.1191432150181</v>
      </c>
      <c r="O30" s="144">
        <f t="shared" si="16"/>
        <v>29.0201538312143</v>
      </c>
      <c r="P30" s="144">
        <f t="shared" si="16"/>
        <v>28.8754770395009</v>
      </c>
      <c r="Q30" s="144">
        <f t="shared" si="16"/>
        <v>28.776487655697</v>
      </c>
    </row>
    <row r="31" ht="17.15" customHeight="1" spans="2:228">
      <c r="B31" s="56"/>
      <c r="C31" s="38" t="s">
        <v>624</v>
      </c>
      <c r="D31" s="62">
        <f>输入参数!E34</f>
        <v>0.12</v>
      </c>
      <c r="E31" s="62"/>
      <c r="F31" s="62">
        <f>D31</f>
        <v>0.12</v>
      </c>
      <c r="G31" s="62">
        <f>F31</f>
        <v>0.12</v>
      </c>
      <c r="H31" s="62">
        <f t="shared" ref="H31:Y31" si="17">G31</f>
        <v>0.12</v>
      </c>
      <c r="I31" s="62">
        <f t="shared" si="17"/>
        <v>0.12</v>
      </c>
      <c r="J31" s="62">
        <f t="shared" si="17"/>
        <v>0.12</v>
      </c>
      <c r="K31" s="62">
        <f t="shared" si="17"/>
        <v>0.12</v>
      </c>
      <c r="L31" s="62">
        <f t="shared" si="17"/>
        <v>0.12</v>
      </c>
      <c r="M31" s="62">
        <f t="shared" si="17"/>
        <v>0.12</v>
      </c>
      <c r="N31" s="62">
        <f t="shared" si="17"/>
        <v>0.12</v>
      </c>
      <c r="O31" s="62">
        <f t="shared" si="17"/>
        <v>0.12</v>
      </c>
      <c r="P31" s="62">
        <f t="shared" si="17"/>
        <v>0.12</v>
      </c>
      <c r="Q31" s="62">
        <f t="shared" si="17"/>
        <v>0.12</v>
      </c>
    </row>
    <row r="32" s="70" customFormat="1" ht="17.15" customHeight="1" spans="2:228">
      <c r="B32" s="54">
        <v>5</v>
      </c>
      <c r="C32" s="37" t="s">
        <v>625</v>
      </c>
      <c r="D32" s="58">
        <f t="shared" si="15"/>
        <v>35075.7808876138</v>
      </c>
      <c r="E32" s="144"/>
      <c r="F32" s="144">
        <f>'表6-运营成本费用表'!F16</f>
        <v>3187.63888775456</v>
      </c>
      <c r="G32" s="144">
        <f>'表6-运营成本费用表'!G16</f>
        <v>3138.45571646677</v>
      </c>
      <c r="H32" s="144">
        <f>'表6-运营成本费用表'!H16</f>
        <v>3084.91005459556</v>
      </c>
      <c r="I32" s="144">
        <f>'表6-运营成本费用表'!I16</f>
        <v>3036.73523867643</v>
      </c>
      <c r="J32" s="144">
        <f>'表6-运营成本费用表'!J16</f>
        <v>2991.11167840193</v>
      </c>
      <c r="K32" s="144">
        <f>'表6-运营成本费用表'!K16</f>
        <v>2944.18187222702</v>
      </c>
      <c r="L32" s="144">
        <f>'表6-运营成本费用表'!L16</f>
        <v>2893.12456600723</v>
      </c>
      <c r="M32" s="144">
        <f>'表6-运营成本费用表'!M16</f>
        <v>2845.75505354206</v>
      </c>
      <c r="N32" s="144">
        <f>'表6-运营成本费用表'!N16</f>
        <v>2801.38443445704</v>
      </c>
      <c r="O32" s="144">
        <f>'表6-运营成本费用表'!O16</f>
        <v>2754.23696140181</v>
      </c>
      <c r="P32" s="144">
        <f>'表6-运营成本费用表'!P16</f>
        <v>2701.26833640696</v>
      </c>
      <c r="Q32" s="144">
        <f>'表6-运营成本费用表'!Q16</f>
        <v>2696.97808767642</v>
      </c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</row>
    <row r="33" s="44" customFormat="1" ht="17.15" customHeight="1" spans="2:215">
      <c r="B33" s="56"/>
      <c r="C33" s="38" t="s">
        <v>626</v>
      </c>
      <c r="D33" s="58">
        <f t="shared" si="15"/>
        <v>2210.52425788848</v>
      </c>
      <c r="E33" s="58"/>
      <c r="F33" s="58">
        <f>'表5-借款还本付息表'!F19</f>
        <v>384.8739288768</v>
      </c>
      <c r="G33" s="58">
        <f>'表5-借款还本付息表'!G19</f>
        <v>351.301181081759</v>
      </c>
      <c r="H33" s="58">
        <f>'表5-借款还本付息表'!H19</f>
        <v>316.721250852866</v>
      </c>
      <c r="I33" s="58">
        <f>'表5-借款还本付息表'!I19</f>
        <v>281.103922717107</v>
      </c>
      <c r="J33" s="58">
        <f>'表5-借款还本付息表'!J19</f>
        <v>244.418074737274</v>
      </c>
      <c r="K33" s="58">
        <f>'表5-借款还本付息表'!K19</f>
        <v>206.631651318047</v>
      </c>
      <c r="L33" s="58">
        <f>'表5-借款还本付息表'!L19</f>
        <v>167.711635196243</v>
      </c>
      <c r="M33" s="58">
        <f>'表5-借款还本付息表'!M19</f>
        <v>127.624018590785</v>
      </c>
      <c r="N33" s="58">
        <f>'表5-借款还本付息表'!N19</f>
        <v>86.3337734871633</v>
      </c>
      <c r="O33" s="58">
        <f>'表5-借款还本付息表'!O19</f>
        <v>43.8048210304328</v>
      </c>
      <c r="P33" s="58">
        <f>'表5-借款还本付息表'!P19</f>
        <v>3.8198777474463e-13</v>
      </c>
      <c r="Q33" s="58">
        <f>'表5-借款还本付息表'!Q19</f>
        <v>3.93447407986969e-13</v>
      </c>
    </row>
    <row r="34" s="2" customFormat="1" ht="17.15" customHeight="1" spans="2:215">
      <c r="B34" s="54">
        <v>6</v>
      </c>
      <c r="C34" s="37" t="s">
        <v>627</v>
      </c>
      <c r="D34" s="58">
        <f t="shared" si="15"/>
        <v>2760.75900997632</v>
      </c>
      <c r="E34" s="58"/>
      <c r="F34" s="58">
        <f>F25-F32-F30</f>
        <v>1765.31556064237</v>
      </c>
      <c r="G34" s="58">
        <f>G25-G32-G30</f>
        <v>5.56907117286164</v>
      </c>
      <c r="H34" s="58">
        <f t="shared" ref="G34:Y34" si="18">H25-H32-H30</f>
        <v>22.030635456811</v>
      </c>
      <c r="I34" s="58">
        <f t="shared" si="18"/>
        <v>15.9029498126871</v>
      </c>
      <c r="J34" s="58">
        <f t="shared" si="18"/>
        <v>32.1576649440054</v>
      </c>
      <c r="K34" s="58">
        <f t="shared" si="18"/>
        <v>57.9419026158174</v>
      </c>
      <c r="L34" s="58">
        <f t="shared" si="18"/>
        <v>83.1546251096008</v>
      </c>
      <c r="M34" s="58">
        <f t="shared" si="18"/>
        <v>111.728076683134</v>
      </c>
      <c r="N34" s="58">
        <f t="shared" si="18"/>
        <v>130.254112042148</v>
      </c>
      <c r="O34" s="58">
        <f t="shared" si="18"/>
        <v>162.129785622913</v>
      </c>
      <c r="P34" s="58">
        <f t="shared" si="18"/>
        <v>192.778088308942</v>
      </c>
      <c r="Q34" s="58">
        <f t="shared" si="18"/>
        <v>181.796537565029</v>
      </c>
      <c r="R34" s="44">
        <f>D34/12</f>
        <v>230.06325083136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</row>
    <row r="35" s="2" customFormat="1" ht="17.15" customHeight="1" spans="2:215">
      <c r="B35" s="54">
        <v>7</v>
      </c>
      <c r="C35" s="38" t="s">
        <v>628</v>
      </c>
      <c r="D35" s="58">
        <f t="shared" si="15"/>
        <v>0</v>
      </c>
      <c r="E35" s="57"/>
      <c r="F35" s="57">
        <v>0</v>
      </c>
      <c r="G35" s="57">
        <v>0</v>
      </c>
      <c r="H35" s="57">
        <v>0</v>
      </c>
      <c r="I35" s="57">
        <v>0</v>
      </c>
      <c r="J35" s="57">
        <v>0</v>
      </c>
      <c r="K35" s="57">
        <v>0</v>
      </c>
      <c r="L35" s="57">
        <v>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</row>
    <row r="36" s="2" customFormat="1" ht="17.15" customHeight="1" spans="2:215">
      <c r="B36" s="54">
        <v>8</v>
      </c>
      <c r="C36" s="38" t="s">
        <v>629</v>
      </c>
      <c r="D36" s="58">
        <f t="shared" si="15"/>
        <v>2760.75900997632</v>
      </c>
      <c r="E36" s="58"/>
      <c r="F36" s="58">
        <f t="shared" ref="F36:Q36" si="19">IF(F34&lt;0,0,-F35+F34)</f>
        <v>1765.31556064237</v>
      </c>
      <c r="G36" s="58">
        <f t="shared" si="19"/>
        <v>5.56907117286164</v>
      </c>
      <c r="H36" s="58">
        <f t="shared" si="19"/>
        <v>22.030635456811</v>
      </c>
      <c r="I36" s="58">
        <f t="shared" si="19"/>
        <v>15.9029498126871</v>
      </c>
      <c r="J36" s="58">
        <f t="shared" si="19"/>
        <v>32.1576649440054</v>
      </c>
      <c r="K36" s="58">
        <f t="shared" si="19"/>
        <v>57.9419026158174</v>
      </c>
      <c r="L36" s="58">
        <f t="shared" si="19"/>
        <v>83.1546251096008</v>
      </c>
      <c r="M36" s="58">
        <f t="shared" si="19"/>
        <v>111.728076683134</v>
      </c>
      <c r="N36" s="58">
        <f t="shared" si="19"/>
        <v>130.254112042148</v>
      </c>
      <c r="O36" s="58">
        <f t="shared" si="19"/>
        <v>162.129785622913</v>
      </c>
      <c r="P36" s="58">
        <f t="shared" si="19"/>
        <v>192.778088308942</v>
      </c>
      <c r="Q36" s="58">
        <f t="shared" si="19"/>
        <v>181.796537565029</v>
      </c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</row>
    <row r="37" s="44" customFormat="1" ht="17.15" customHeight="1" spans="2:215">
      <c r="B37" s="54">
        <v>9</v>
      </c>
      <c r="C37" s="38" t="s">
        <v>630</v>
      </c>
      <c r="D37" s="58">
        <f t="shared" si="15"/>
        <v>227.915473513871</v>
      </c>
      <c r="E37" s="57"/>
      <c r="F37" s="57">
        <v>0</v>
      </c>
      <c r="G37" s="57">
        <v>0</v>
      </c>
      <c r="H37" s="57">
        <v>0</v>
      </c>
      <c r="I37" s="58">
        <f>I36*15%*0.5</f>
        <v>1.19272123595153</v>
      </c>
      <c r="J37" s="58">
        <f>J36*25%*0.5</f>
        <v>4.01970811800068</v>
      </c>
      <c r="K37" s="58">
        <f>K36*25%*0.5</f>
        <v>7.24273782697718</v>
      </c>
      <c r="L37" s="58">
        <f t="shared" ref="L37:Q37" si="20">L36*25%</f>
        <v>20.7886562774002</v>
      </c>
      <c r="M37" s="58">
        <f t="shared" si="20"/>
        <v>27.9320191707834</v>
      </c>
      <c r="N37" s="58">
        <f t="shared" si="20"/>
        <v>32.5635280105371</v>
      </c>
      <c r="O37" s="58">
        <f t="shared" si="20"/>
        <v>40.5324464057283</v>
      </c>
      <c r="P37" s="58">
        <f t="shared" si="20"/>
        <v>48.1945220772355</v>
      </c>
      <c r="Q37" s="58">
        <f t="shared" si="20"/>
        <v>45.4491343912572</v>
      </c>
    </row>
    <row r="38" s="2" customFormat="1" ht="17.15" customHeight="1" spans="2:215">
      <c r="B38" s="54">
        <v>10</v>
      </c>
      <c r="C38" s="38" t="s">
        <v>631</v>
      </c>
      <c r="D38" s="58">
        <f t="shared" si="15"/>
        <v>2532.84353646245</v>
      </c>
      <c r="E38" s="58"/>
      <c r="F38" s="58">
        <f t="shared" ref="F38:Q38" si="21">F34-F37</f>
        <v>1765.31556064237</v>
      </c>
      <c r="G38" s="58">
        <f t="shared" si="21"/>
        <v>5.56907117286164</v>
      </c>
      <c r="H38" s="58">
        <f t="shared" si="21"/>
        <v>22.030635456811</v>
      </c>
      <c r="I38" s="58">
        <f t="shared" si="21"/>
        <v>14.7102285767355</v>
      </c>
      <c r="J38" s="58">
        <f t="shared" si="21"/>
        <v>28.1379568260047</v>
      </c>
      <c r="K38" s="58">
        <f t="shared" si="21"/>
        <v>50.6991647888403</v>
      </c>
      <c r="L38" s="58">
        <f t="shared" si="21"/>
        <v>62.3659688322006</v>
      </c>
      <c r="M38" s="58">
        <f t="shared" si="21"/>
        <v>83.7960575123503</v>
      </c>
      <c r="N38" s="58">
        <f t="shared" si="21"/>
        <v>97.6905840316113</v>
      </c>
      <c r="O38" s="58">
        <f t="shared" si="21"/>
        <v>121.597339217185</v>
      </c>
      <c r="P38" s="58">
        <f t="shared" si="21"/>
        <v>144.583566231707</v>
      </c>
      <c r="Q38" s="58">
        <f t="shared" si="21"/>
        <v>136.347403173772</v>
      </c>
      <c r="R38" s="44">
        <f>D38/12</f>
        <v>211.070294705204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</row>
    <row r="39" s="2" customFormat="1" ht="17.15" customHeight="1" spans="2:215">
      <c r="B39" s="54">
        <v>11</v>
      </c>
      <c r="C39" s="38" t="s">
        <v>632</v>
      </c>
      <c r="D39" s="58">
        <f t="shared" si="15"/>
        <v>19457.2297656056</v>
      </c>
      <c r="E39" s="57"/>
      <c r="F39" s="58">
        <f>E41</f>
        <v>0</v>
      </c>
      <c r="G39" s="58">
        <f t="shared" ref="G39:Y39" si="22">F41</f>
        <v>1588.78400457813</v>
      </c>
      <c r="H39" s="58">
        <f t="shared" si="22"/>
        <v>1593.79616863371</v>
      </c>
      <c r="I39" s="58">
        <f t="shared" si="22"/>
        <v>1613.62374054484</v>
      </c>
      <c r="J39" s="58">
        <f t="shared" si="22"/>
        <v>1626.8629462639</v>
      </c>
      <c r="K39" s="58">
        <f t="shared" si="22"/>
        <v>1652.1871074073</v>
      </c>
      <c r="L39" s="58">
        <f t="shared" si="22"/>
        <v>1697.81635571726</v>
      </c>
      <c r="M39" s="58">
        <f t="shared" si="22"/>
        <v>1753.94572766624</v>
      </c>
      <c r="N39" s="58">
        <f t="shared" si="22"/>
        <v>1829.36217942735</v>
      </c>
      <c r="O39" s="58">
        <f t="shared" si="22"/>
        <v>1917.2837050558</v>
      </c>
      <c r="P39" s="58">
        <f t="shared" si="22"/>
        <v>2026.72131035127</v>
      </c>
      <c r="Q39" s="58">
        <f t="shared" si="22"/>
        <v>2156.84651995981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</row>
    <row r="40" s="2" customFormat="1" ht="17.15" customHeight="1" spans="2:215">
      <c r="B40" s="54">
        <v>12</v>
      </c>
      <c r="C40" s="38" t="s">
        <v>633</v>
      </c>
      <c r="D40" s="58">
        <f t="shared" si="15"/>
        <v>253.284353646245</v>
      </c>
      <c r="E40" s="57"/>
      <c r="F40" s="58">
        <f>IF(F38&lt;0,0,F38*0.1)</f>
        <v>176.531556064237</v>
      </c>
      <c r="G40" s="58">
        <f t="shared" ref="G40:Y40" si="23">IF(G38&lt;0,0,G38*0.1)</f>
        <v>0.556907117286164</v>
      </c>
      <c r="H40" s="58">
        <f t="shared" si="23"/>
        <v>2.2030635456811</v>
      </c>
      <c r="I40" s="58">
        <f t="shared" si="23"/>
        <v>1.47102285767355</v>
      </c>
      <c r="J40" s="58">
        <f t="shared" si="23"/>
        <v>2.81379568260047</v>
      </c>
      <c r="K40" s="58">
        <f t="shared" si="23"/>
        <v>5.06991647888403</v>
      </c>
      <c r="L40" s="58">
        <f t="shared" si="23"/>
        <v>6.23659688322006</v>
      </c>
      <c r="M40" s="58">
        <f t="shared" si="23"/>
        <v>8.37960575123503</v>
      </c>
      <c r="N40" s="58">
        <f t="shared" si="23"/>
        <v>9.76905840316113</v>
      </c>
      <c r="O40" s="58">
        <f t="shared" si="23"/>
        <v>12.1597339217185</v>
      </c>
      <c r="P40" s="58">
        <f t="shared" si="23"/>
        <v>14.4583566231707</v>
      </c>
      <c r="Q40" s="58">
        <f t="shared" si="23"/>
        <v>13.6347403173772</v>
      </c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</row>
    <row r="41" s="2" customFormat="1" ht="17.15" customHeight="1" spans="2:215">
      <c r="B41" s="54">
        <v>13</v>
      </c>
      <c r="C41" s="38" t="s">
        <v>634</v>
      </c>
      <c r="D41" s="58">
        <f t="shared" si="15"/>
        <v>21736.7889484218</v>
      </c>
      <c r="E41" s="58">
        <v>0</v>
      </c>
      <c r="F41" s="58">
        <f>F38+F39-F40</f>
        <v>1588.78400457813</v>
      </c>
      <c r="G41" s="58">
        <f>G38+G39-G40</f>
        <v>1593.79616863371</v>
      </c>
      <c r="H41" s="58">
        <f t="shared" ref="H41:Y41" si="24">H38+H39-H40</f>
        <v>1613.62374054484</v>
      </c>
      <c r="I41" s="58">
        <f t="shared" si="24"/>
        <v>1626.8629462639</v>
      </c>
      <c r="J41" s="58">
        <f t="shared" si="24"/>
        <v>1652.1871074073</v>
      </c>
      <c r="K41" s="58">
        <f t="shared" si="24"/>
        <v>1697.81635571726</v>
      </c>
      <c r="L41" s="58">
        <f t="shared" si="24"/>
        <v>1753.94572766624</v>
      </c>
      <c r="M41" s="58">
        <f t="shared" si="24"/>
        <v>1829.36217942735</v>
      </c>
      <c r="N41" s="58">
        <f t="shared" si="24"/>
        <v>1917.2837050558</v>
      </c>
      <c r="O41" s="58">
        <f t="shared" si="24"/>
        <v>2026.72131035127</v>
      </c>
      <c r="P41" s="58">
        <f t="shared" si="24"/>
        <v>2156.84651995981</v>
      </c>
      <c r="Q41" s="58">
        <f t="shared" si="24"/>
        <v>2279.5591828162</v>
      </c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4"/>
      <c r="FW41" s="44"/>
      <c r="FX41" s="44"/>
      <c r="FY41" s="44"/>
      <c r="FZ41" s="44"/>
      <c r="GA41" s="44"/>
      <c r="GB41" s="44"/>
      <c r="GC41" s="44"/>
      <c r="GD41" s="44"/>
      <c r="GE41" s="44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4"/>
      <c r="HB41" s="44"/>
      <c r="HC41" s="44"/>
      <c r="HD41" s="44"/>
      <c r="HE41" s="44"/>
      <c r="HF41" s="44"/>
      <c r="HG41" s="44"/>
    </row>
    <row r="42" s="2" customFormat="1" ht="17.15" customHeight="1" spans="2:215">
      <c r="B42" s="54">
        <v>14</v>
      </c>
      <c r="C42" s="38" t="s">
        <v>635</v>
      </c>
      <c r="D42" s="58">
        <f t="shared" si="15"/>
        <v>4971.2832678648</v>
      </c>
      <c r="E42" s="58"/>
      <c r="F42" s="58">
        <f>F33+F37+F38</f>
        <v>2150.18948951917</v>
      </c>
      <c r="G42" s="58">
        <f t="shared" ref="F42:Y42" si="25">G33+G37+G38</f>
        <v>356.87025225462</v>
      </c>
      <c r="H42" s="58">
        <f t="shared" si="25"/>
        <v>338.751886309677</v>
      </c>
      <c r="I42" s="58">
        <f t="shared" si="25"/>
        <v>297.006872529794</v>
      </c>
      <c r="J42" s="58">
        <f t="shared" si="25"/>
        <v>276.57573968128</v>
      </c>
      <c r="K42" s="58">
        <f t="shared" si="25"/>
        <v>264.573553933865</v>
      </c>
      <c r="L42" s="58">
        <f t="shared" si="25"/>
        <v>250.866260305844</v>
      </c>
      <c r="M42" s="58">
        <f t="shared" si="25"/>
        <v>239.352095273919</v>
      </c>
      <c r="N42" s="58">
        <f t="shared" si="25"/>
        <v>216.587885529312</v>
      </c>
      <c r="O42" s="58">
        <f t="shared" si="25"/>
        <v>205.934606653346</v>
      </c>
      <c r="P42" s="58">
        <f t="shared" si="25"/>
        <v>192.778088308942</v>
      </c>
      <c r="Q42" s="58">
        <f t="shared" si="25"/>
        <v>181.796537565029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</row>
    <row r="43" s="44" customFormat="1" ht="17.15" customHeight="1" spans="2:215">
      <c r="B43" s="66">
        <v>15</v>
      </c>
      <c r="C43" s="147" t="s">
        <v>636</v>
      </c>
      <c r="D43" s="58">
        <f t="shared" si="15"/>
        <v>1242.8208169662</v>
      </c>
      <c r="E43" s="148"/>
      <c r="F43" s="68">
        <f t="shared" ref="F43:Q43" si="26">IF(F42&lt;0,0,F42*0.25)</f>
        <v>537.547372379792</v>
      </c>
      <c r="G43" s="68">
        <f t="shared" si="26"/>
        <v>89.2175630636551</v>
      </c>
      <c r="H43" s="68">
        <f t="shared" si="26"/>
        <v>84.6879715774192</v>
      </c>
      <c r="I43" s="68">
        <f t="shared" si="26"/>
        <v>74.2517181324484</v>
      </c>
      <c r="J43" s="68">
        <f t="shared" si="26"/>
        <v>69.1439349203199</v>
      </c>
      <c r="K43" s="68">
        <f t="shared" si="26"/>
        <v>66.1433884834662</v>
      </c>
      <c r="L43" s="68">
        <f t="shared" si="26"/>
        <v>62.716565076461</v>
      </c>
      <c r="M43" s="68">
        <f t="shared" si="26"/>
        <v>59.8380238184797</v>
      </c>
      <c r="N43" s="68">
        <f t="shared" si="26"/>
        <v>54.1469713823279</v>
      </c>
      <c r="O43" s="68">
        <f t="shared" si="26"/>
        <v>51.4836516633365</v>
      </c>
      <c r="P43" s="68">
        <f t="shared" si="26"/>
        <v>48.1945220772356</v>
      </c>
      <c r="Q43" s="68">
        <f t="shared" si="26"/>
        <v>45.4491343912573</v>
      </c>
    </row>
    <row r="44" s="2" customFormat="1" ht="15.75" spans="2:215">
      <c r="B44" s="44"/>
      <c r="C44" s="44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</row>
    <row r="45" s="2" customFormat="1" spans="2:215">
      <c r="B45" s="150"/>
      <c r="C45" s="151" t="s">
        <v>637</v>
      </c>
      <c r="D45" s="152"/>
      <c r="E45" s="153"/>
      <c r="F45" s="154">
        <f>输入参数!E22</f>
        <v>1443.277233288</v>
      </c>
      <c r="G45" s="154">
        <f>F45-F28</f>
        <v>799.393154996401</v>
      </c>
      <c r="H45" s="154">
        <f t="shared" ref="H45:Y45" si="27">G45-G28</f>
        <v>390.669932603249</v>
      </c>
      <c r="I45" s="154">
        <f t="shared" si="27"/>
        <v>0</v>
      </c>
      <c r="J45" s="154">
        <f t="shared" si="27"/>
        <v>-151.535047874655</v>
      </c>
      <c r="K45" s="154">
        <f t="shared" si="27"/>
        <v>-300.813766864935</v>
      </c>
      <c r="L45" s="154">
        <f t="shared" si="27"/>
        <v>-448.467929058465</v>
      </c>
      <c r="M45" s="154">
        <f t="shared" si="27"/>
        <v>-594.136521833744</v>
      </c>
      <c r="N45" s="154">
        <f t="shared" si="27"/>
        <v>-738.361064123023</v>
      </c>
      <c r="O45" s="154">
        <f t="shared" si="27"/>
        <v>-880.600036994052</v>
      </c>
      <c r="P45" s="154">
        <f t="shared" si="27"/>
        <v>-1021.66571884521</v>
      </c>
      <c r="Q45" s="154">
        <f t="shared" si="27"/>
        <v>-1161.01659074423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</row>
    <row r="46" ht="15.75" spans="2:215">
      <c r="B46" s="155"/>
      <c r="C46" s="156" t="s">
        <v>441</v>
      </c>
      <c r="D46" s="157">
        <f>'表1-投资计划与资金筹措表'!D6-输入参数!E22</f>
        <v>14593.136469912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</row>
    <row r="54" spans="6:17">
      <c r="F54" s="158">
        <f>手动输入参数表!D30+'表2-利润与利润分配表'!F15</f>
        <v>8932.49114754098</v>
      </c>
      <c r="G54" s="158">
        <f>手动输入参数表!E30+'表2-利润与利润分配表'!G15</f>
        <v>8765.38672131147</v>
      </c>
      <c r="H54" s="158">
        <f>手动输入参数表!F30+'表2-利润与利润分配表'!H15</f>
        <v>8613.47360655737</v>
      </c>
      <c r="I54" s="158">
        <f>手动输入参数表!G30+'表2-利润与利润分配表'!I15</f>
        <v>8502.0706557377</v>
      </c>
      <c r="J54" s="158">
        <f>手动输入参数表!H30+'表2-利润与利润分配表'!J15</f>
        <v>8375.47639344262</v>
      </c>
      <c r="K54" s="158">
        <f>手动输入参数表!I30+'表2-利润与利润分配表'!K15</f>
        <v>8284.32852459016</v>
      </c>
      <c r="L54" s="158">
        <f>手动输入参数表!J30+'表2-利润与利润分配表'!L15</f>
        <v>8172.92557377049</v>
      </c>
      <c r="M54" s="158">
        <f>手动输入参数表!K30+'表2-利润与利润分配表'!M15</f>
        <v>8091.90524590164</v>
      </c>
      <c r="N54" s="158">
        <f>手动输入参数表!L30+'表2-利润与利润分配表'!N15</f>
        <v>7980.50229508197</v>
      </c>
      <c r="O54" s="158">
        <f>手动输入参数表!M30+'表2-利润与利润分配表'!O15</f>
        <v>7914.67327868853</v>
      </c>
      <c r="P54" s="158">
        <f>手动输入参数表!N30+'表2-利润与利润分配表'!P15</f>
        <v>7818.46163934427</v>
      </c>
      <c r="Q54" s="158">
        <f>手动输入参数表!O30+'表2-利润与利润分配表'!Q15</f>
        <v>7752.63262295082</v>
      </c>
    </row>
    <row r="55" spans="6:17">
      <c r="F55" s="46">
        <f>F8*F7</f>
        <v>20</v>
      </c>
      <c r="G55" s="46">
        <f>G8*G7</f>
        <v>20</v>
      </c>
      <c r="H55" s="46">
        <f>H7*H8</f>
        <v>20</v>
      </c>
      <c r="I55" s="46">
        <f t="shared" ref="I55:Y55" si="28">I7*I8</f>
        <v>20</v>
      </c>
      <c r="J55" s="46">
        <f t="shared" si="28"/>
        <v>20</v>
      </c>
      <c r="K55" s="46">
        <f t="shared" si="28"/>
        <v>20</v>
      </c>
      <c r="L55" s="46">
        <f t="shared" si="28"/>
        <v>20</v>
      </c>
      <c r="M55" s="46">
        <f t="shared" si="28"/>
        <v>20</v>
      </c>
      <c r="N55" s="46">
        <f t="shared" si="28"/>
        <v>20</v>
      </c>
      <c r="O55" s="46">
        <f t="shared" si="28"/>
        <v>20</v>
      </c>
      <c r="P55" s="46">
        <f t="shared" si="28"/>
        <v>20</v>
      </c>
      <c r="Q55" s="46">
        <f t="shared" si="28"/>
        <v>20</v>
      </c>
    </row>
    <row r="56" spans="6:17">
      <c r="F56" s="46">
        <f>F54/(F55*2)</f>
        <v>223.312278688525</v>
      </c>
      <c r="G56" s="46">
        <f t="shared" ref="G56:Y56" si="29">G54/(G55*2)</f>
        <v>219.134668032787</v>
      </c>
      <c r="H56" s="46">
        <f t="shared" si="29"/>
        <v>215.336840163934</v>
      </c>
      <c r="I56" s="46">
        <f t="shared" si="29"/>
        <v>212.551766393443</v>
      </c>
      <c r="J56" s="46">
        <f t="shared" si="29"/>
        <v>209.386909836066</v>
      </c>
      <c r="K56" s="46">
        <f t="shared" si="29"/>
        <v>207.108213114754</v>
      </c>
      <c r="L56" s="46">
        <f t="shared" si="29"/>
        <v>204.323139344262</v>
      </c>
      <c r="M56" s="46">
        <f t="shared" si="29"/>
        <v>202.297631147541</v>
      </c>
      <c r="N56" s="46">
        <f t="shared" si="29"/>
        <v>199.512557377049</v>
      </c>
      <c r="O56" s="46">
        <f t="shared" si="29"/>
        <v>197.866831967213</v>
      </c>
      <c r="P56" s="46">
        <f t="shared" si="29"/>
        <v>195.461540983607</v>
      </c>
      <c r="Q56" s="46">
        <f t="shared" si="29"/>
        <v>193.81581557377</v>
      </c>
    </row>
  </sheetData>
  <mergeCells count="2">
    <mergeCell ref="B2:Q2"/>
    <mergeCell ref="F4:Q4"/>
  </mergeCells>
  <pageMargins left="0.75" right="0.75" top="1" bottom="1" header="0.509027777777778" footer="0.509027777777778"/>
  <pageSetup paperSize="9" orientation="portrait" verticalDpi="1200"/>
  <headerFooter alignWithMargins="0" scaleWithDoc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7" tint="0.799768059327982"/>
  </sheetPr>
  <dimension ref="A1:HJ186"/>
  <sheetViews>
    <sheetView showZeros="0" tabSelected="1" zoomScale="90" zoomScaleNormal="90" workbookViewId="0">
      <pane xSplit="4" ySplit="6" topLeftCell="E7" activePane="bottomRight" state="frozen"/>
      <selection/>
      <selection pane="topRight"/>
      <selection pane="bottomLeft"/>
      <selection pane="bottomRight" activeCell="I17" sqref="I17"/>
    </sheetView>
  </sheetViews>
  <sheetFormatPr defaultColWidth="9" defaultRowHeight="15"/>
  <cols>
    <col min="1" max="1" width="9" style="92" customWidth="1"/>
    <col min="2" max="2" width="8.08333333333333" style="93" customWidth="1"/>
    <col min="3" max="3" width="26.5833333333333" style="92" customWidth="1"/>
    <col min="4" max="6" width="13.5" style="94" customWidth="1"/>
    <col min="7" max="7" width="13.75" style="94" customWidth="1"/>
    <col min="8" max="17" width="12.5833333333333" style="94" customWidth="1"/>
    <col min="18" max="18" width="9.10833333333333" style="92" customWidth="1"/>
    <col min="19" max="213" width="9" style="92" customWidth="1"/>
    <col min="214" max="218" width="9" style="95" customWidth="1"/>
  </cols>
  <sheetData>
    <row r="1" spans="1:218">
      <c r="A1" s="96"/>
      <c r="B1" s="97"/>
      <c r="C1" s="96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96"/>
      <c r="S1" s="96"/>
      <c r="T1" s="96"/>
      <c r="U1" s="96"/>
      <c r="V1" s="96"/>
    </row>
    <row r="2" ht="28.5" customHeight="1" spans="1:218">
      <c r="A2" s="96"/>
      <c r="B2" s="98" t="s">
        <v>638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6"/>
      <c r="S2" s="96"/>
      <c r="T2" s="96"/>
      <c r="U2" s="96"/>
      <c r="V2" s="96"/>
    </row>
    <row r="3" s="89" customFormat="1" ht="14.25" customHeight="1" spans="1:218">
      <c r="A3" s="96"/>
      <c r="B3" s="99" t="s">
        <v>639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6"/>
      <c r="S3" s="96"/>
      <c r="T3" s="96"/>
      <c r="U3" s="96"/>
      <c r="V3" s="96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2"/>
      <c r="EN3" s="92"/>
      <c r="EO3" s="92"/>
      <c r="EP3" s="92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  <c r="FC3" s="92"/>
      <c r="FD3" s="92"/>
      <c r="FE3" s="92"/>
      <c r="FF3" s="92"/>
      <c r="FG3" s="92"/>
      <c r="FH3" s="92"/>
      <c r="FI3" s="92"/>
      <c r="FJ3" s="92"/>
      <c r="FK3" s="92"/>
      <c r="FL3" s="92"/>
      <c r="FM3" s="92"/>
      <c r="FN3" s="92"/>
      <c r="FO3" s="92"/>
      <c r="FP3" s="92"/>
      <c r="FQ3" s="92"/>
      <c r="FR3" s="92"/>
      <c r="FS3" s="92"/>
      <c r="FT3" s="92"/>
      <c r="FU3" s="92"/>
      <c r="FV3" s="92"/>
      <c r="FW3" s="92"/>
      <c r="FX3" s="92"/>
      <c r="FY3" s="92"/>
      <c r="FZ3" s="92"/>
      <c r="GA3" s="92"/>
      <c r="GB3" s="92"/>
      <c r="GC3" s="92"/>
      <c r="GD3" s="92"/>
      <c r="GE3" s="92"/>
      <c r="GF3" s="92"/>
      <c r="GG3" s="92"/>
      <c r="GH3" s="92"/>
      <c r="GI3" s="92"/>
      <c r="GJ3" s="92"/>
      <c r="GK3" s="92"/>
      <c r="GL3" s="92"/>
      <c r="GM3" s="92"/>
      <c r="GN3" s="92"/>
      <c r="GO3" s="92"/>
      <c r="GP3" s="92"/>
      <c r="GQ3" s="92"/>
      <c r="GR3" s="92"/>
      <c r="GS3" s="92"/>
      <c r="GT3" s="92"/>
      <c r="GU3" s="92"/>
      <c r="GV3" s="92"/>
      <c r="GW3" s="92"/>
      <c r="GX3" s="92"/>
      <c r="GY3" s="92"/>
      <c r="GZ3" s="92"/>
      <c r="HA3" s="92"/>
      <c r="HB3" s="92"/>
      <c r="HC3" s="92"/>
      <c r="HD3" s="92"/>
      <c r="HE3" s="92"/>
      <c r="HF3" s="92"/>
      <c r="HG3" s="92"/>
      <c r="HH3" s="92"/>
      <c r="HI3" s="92"/>
      <c r="HJ3" s="92"/>
    </row>
    <row r="4" s="90" customFormat="1" ht="18" customHeight="1" spans="1:218">
      <c r="A4" s="100"/>
      <c r="B4" s="101" t="s">
        <v>2</v>
      </c>
      <c r="C4" s="102" t="s">
        <v>282</v>
      </c>
      <c r="D4" s="103" t="s">
        <v>115</v>
      </c>
      <c r="E4" s="104" t="s">
        <v>75</v>
      </c>
      <c r="F4" s="105" t="s">
        <v>76</v>
      </c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0"/>
      <c r="S4" s="100"/>
      <c r="T4" s="100"/>
      <c r="U4" s="100"/>
      <c r="V4" s="100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  <c r="CI4" s="106"/>
      <c r="CJ4" s="106"/>
      <c r="CK4" s="106"/>
      <c r="CL4" s="106"/>
      <c r="CM4" s="106"/>
      <c r="CN4" s="106"/>
      <c r="CO4" s="106"/>
      <c r="CP4" s="106"/>
      <c r="CQ4" s="106"/>
      <c r="CR4" s="106"/>
      <c r="CS4" s="106"/>
      <c r="CT4" s="106"/>
      <c r="CU4" s="106"/>
      <c r="CV4" s="106"/>
      <c r="CW4" s="106"/>
      <c r="CX4" s="106"/>
      <c r="CY4" s="106"/>
      <c r="CZ4" s="106"/>
      <c r="DA4" s="106"/>
      <c r="DB4" s="106"/>
      <c r="DC4" s="106"/>
      <c r="DD4" s="106"/>
      <c r="DE4" s="106"/>
      <c r="DF4" s="106"/>
      <c r="DG4" s="106"/>
      <c r="DH4" s="106"/>
      <c r="DI4" s="106"/>
      <c r="DJ4" s="106"/>
      <c r="DK4" s="106"/>
      <c r="DL4" s="106"/>
      <c r="DM4" s="106"/>
      <c r="DN4" s="106"/>
      <c r="DO4" s="106"/>
      <c r="DP4" s="106"/>
      <c r="DQ4" s="106"/>
      <c r="DR4" s="106"/>
      <c r="DS4" s="106"/>
      <c r="DT4" s="106"/>
      <c r="DU4" s="106"/>
      <c r="DV4" s="106"/>
      <c r="DW4" s="106"/>
      <c r="DX4" s="106"/>
      <c r="DY4" s="106"/>
      <c r="DZ4" s="106"/>
      <c r="EA4" s="106"/>
      <c r="EB4" s="106"/>
      <c r="EC4" s="106"/>
      <c r="ED4" s="106"/>
      <c r="EE4" s="106"/>
      <c r="EF4" s="106"/>
      <c r="EG4" s="106"/>
      <c r="EH4" s="106"/>
      <c r="EI4" s="106"/>
      <c r="EJ4" s="106"/>
      <c r="EK4" s="106"/>
      <c r="EL4" s="106"/>
      <c r="EM4" s="106"/>
      <c r="EN4" s="106"/>
      <c r="EO4" s="106"/>
      <c r="EP4" s="106"/>
      <c r="EQ4" s="106"/>
      <c r="ER4" s="106"/>
      <c r="ES4" s="106"/>
      <c r="ET4" s="106"/>
      <c r="EU4" s="106"/>
      <c r="EV4" s="106"/>
      <c r="EW4" s="106"/>
      <c r="EX4" s="106"/>
      <c r="EY4" s="106"/>
      <c r="EZ4" s="106"/>
      <c r="FA4" s="106"/>
      <c r="FB4" s="106"/>
      <c r="FC4" s="106"/>
      <c r="FD4" s="106"/>
      <c r="FE4" s="106"/>
      <c r="FF4" s="106"/>
      <c r="FG4" s="106"/>
      <c r="FH4" s="106"/>
      <c r="FI4" s="106"/>
      <c r="FJ4" s="106"/>
      <c r="FK4" s="106"/>
      <c r="FL4" s="106"/>
      <c r="FM4" s="106"/>
      <c r="FN4" s="106"/>
      <c r="FO4" s="106"/>
      <c r="FP4" s="106"/>
      <c r="FQ4" s="106"/>
      <c r="FR4" s="106"/>
      <c r="FS4" s="106"/>
      <c r="FT4" s="106"/>
      <c r="FU4" s="106"/>
      <c r="FV4" s="106"/>
      <c r="FW4" s="106"/>
      <c r="FX4" s="106"/>
      <c r="FY4" s="106"/>
      <c r="FZ4" s="106"/>
      <c r="GA4" s="106"/>
      <c r="GB4" s="106"/>
      <c r="GC4" s="106"/>
      <c r="GD4" s="106"/>
      <c r="GE4" s="106"/>
      <c r="GF4" s="106"/>
      <c r="GG4" s="106"/>
      <c r="GH4" s="106"/>
      <c r="GI4" s="106"/>
      <c r="GJ4" s="106"/>
      <c r="GK4" s="106"/>
      <c r="GL4" s="106"/>
      <c r="GM4" s="106"/>
      <c r="GN4" s="106"/>
      <c r="GO4" s="106"/>
      <c r="GP4" s="106"/>
      <c r="GQ4" s="106"/>
      <c r="GR4" s="106"/>
      <c r="GS4" s="106"/>
      <c r="GT4" s="106"/>
      <c r="GU4" s="106"/>
      <c r="GV4" s="106"/>
      <c r="GW4" s="106"/>
      <c r="GX4" s="106"/>
      <c r="GY4" s="106"/>
      <c r="GZ4" s="106"/>
      <c r="HA4" s="106"/>
      <c r="HB4" s="106"/>
      <c r="HC4" s="106"/>
      <c r="HD4" s="106"/>
      <c r="HE4" s="106"/>
      <c r="HF4" s="106"/>
      <c r="HG4" s="106"/>
      <c r="HH4" s="106"/>
      <c r="HI4" s="106"/>
      <c r="HJ4" s="106"/>
    </row>
    <row r="5" s="90" customFormat="1" ht="18" customHeight="1" spans="1:218">
      <c r="A5" s="100"/>
      <c r="B5" s="107"/>
      <c r="C5" s="108"/>
      <c r="D5" s="109"/>
      <c r="E5" s="12" t="s">
        <v>77</v>
      </c>
      <c r="F5" s="13" t="s">
        <v>78</v>
      </c>
      <c r="G5" s="13" t="s">
        <v>79</v>
      </c>
      <c r="H5" s="13" t="s">
        <v>80</v>
      </c>
      <c r="I5" s="13" t="s">
        <v>81</v>
      </c>
      <c r="J5" s="13" t="s">
        <v>82</v>
      </c>
      <c r="K5" s="13" t="s">
        <v>83</v>
      </c>
      <c r="L5" s="13" t="s">
        <v>84</v>
      </c>
      <c r="M5" s="13" t="s">
        <v>85</v>
      </c>
      <c r="N5" s="13" t="s">
        <v>86</v>
      </c>
      <c r="O5" s="13" t="s">
        <v>87</v>
      </c>
      <c r="P5" s="13" t="s">
        <v>88</v>
      </c>
      <c r="Q5" s="13" t="s">
        <v>89</v>
      </c>
      <c r="R5" s="100"/>
      <c r="S5" s="100"/>
      <c r="T5" s="100"/>
      <c r="U5" s="100"/>
      <c r="V5" s="100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106"/>
      <c r="CT5" s="106"/>
      <c r="CU5" s="106"/>
      <c r="CV5" s="106"/>
      <c r="CW5" s="106"/>
      <c r="CX5" s="106"/>
      <c r="CY5" s="106"/>
      <c r="CZ5" s="106"/>
      <c r="DA5" s="106"/>
      <c r="DB5" s="106"/>
      <c r="DC5" s="106"/>
      <c r="DD5" s="106"/>
      <c r="DE5" s="106"/>
      <c r="DF5" s="106"/>
      <c r="DG5" s="106"/>
      <c r="DH5" s="106"/>
      <c r="DI5" s="106"/>
      <c r="DJ5" s="106"/>
      <c r="DK5" s="106"/>
      <c r="DL5" s="106"/>
      <c r="DM5" s="106"/>
      <c r="DN5" s="106"/>
      <c r="DO5" s="106"/>
      <c r="DP5" s="106"/>
      <c r="DQ5" s="106"/>
      <c r="DR5" s="106"/>
      <c r="DS5" s="106"/>
      <c r="DT5" s="106"/>
      <c r="DU5" s="106"/>
      <c r="DV5" s="106"/>
      <c r="DW5" s="106"/>
      <c r="DX5" s="106"/>
      <c r="DY5" s="106"/>
      <c r="DZ5" s="106"/>
      <c r="EA5" s="106"/>
      <c r="EB5" s="106"/>
      <c r="EC5" s="106"/>
      <c r="ED5" s="106"/>
      <c r="EE5" s="106"/>
      <c r="EF5" s="106"/>
      <c r="EG5" s="106"/>
      <c r="EH5" s="106"/>
      <c r="EI5" s="106"/>
      <c r="EJ5" s="106"/>
      <c r="EK5" s="106"/>
      <c r="EL5" s="106"/>
      <c r="EM5" s="106"/>
      <c r="EN5" s="106"/>
      <c r="EO5" s="106"/>
      <c r="EP5" s="106"/>
      <c r="EQ5" s="106"/>
      <c r="ER5" s="106"/>
      <c r="ES5" s="106"/>
      <c r="ET5" s="106"/>
      <c r="EU5" s="106"/>
      <c r="EV5" s="106"/>
      <c r="EW5" s="106"/>
      <c r="EX5" s="106"/>
      <c r="EY5" s="106"/>
      <c r="EZ5" s="106"/>
      <c r="FA5" s="106"/>
      <c r="FB5" s="106"/>
      <c r="FC5" s="106"/>
      <c r="FD5" s="106"/>
      <c r="FE5" s="106"/>
      <c r="FF5" s="106"/>
      <c r="FG5" s="106"/>
      <c r="FH5" s="106"/>
      <c r="FI5" s="106"/>
      <c r="FJ5" s="106"/>
      <c r="FK5" s="106"/>
      <c r="FL5" s="106"/>
      <c r="FM5" s="106"/>
      <c r="FN5" s="106"/>
      <c r="FO5" s="106"/>
      <c r="FP5" s="106"/>
      <c r="FQ5" s="106"/>
      <c r="FR5" s="106"/>
      <c r="FS5" s="106"/>
      <c r="FT5" s="106"/>
      <c r="FU5" s="106"/>
      <c r="FV5" s="106"/>
      <c r="FW5" s="106"/>
      <c r="FX5" s="106"/>
      <c r="FY5" s="106"/>
      <c r="FZ5" s="106"/>
      <c r="GA5" s="106"/>
      <c r="GB5" s="106"/>
      <c r="GC5" s="106"/>
      <c r="GD5" s="106"/>
      <c r="GE5" s="106"/>
      <c r="GF5" s="106"/>
      <c r="GG5" s="106"/>
      <c r="GH5" s="106"/>
      <c r="GI5" s="106"/>
      <c r="GJ5" s="106"/>
      <c r="GK5" s="106"/>
      <c r="GL5" s="106"/>
      <c r="GM5" s="106"/>
      <c r="GN5" s="106"/>
      <c r="GO5" s="106"/>
      <c r="GP5" s="106"/>
      <c r="GQ5" s="106"/>
      <c r="GR5" s="106"/>
      <c r="GS5" s="106"/>
      <c r="GT5" s="106"/>
      <c r="GU5" s="106"/>
      <c r="GV5" s="106"/>
      <c r="GW5" s="106"/>
      <c r="GX5" s="106"/>
      <c r="GY5" s="106"/>
      <c r="GZ5" s="106"/>
      <c r="HA5" s="106"/>
      <c r="HB5" s="106"/>
      <c r="HC5" s="106"/>
      <c r="HD5" s="106"/>
      <c r="HE5" s="106"/>
      <c r="HF5" s="106"/>
      <c r="HG5" s="106"/>
      <c r="HH5" s="106"/>
      <c r="HI5" s="106"/>
      <c r="HJ5" s="106"/>
    </row>
    <row r="6" s="2" customFormat="1" ht="18" customHeight="1" spans="1:218">
      <c r="A6" s="96"/>
      <c r="B6" s="110">
        <v>1</v>
      </c>
      <c r="C6" s="111" t="s">
        <v>640</v>
      </c>
      <c r="D6" s="77">
        <f t="shared" ref="D6:D13" si="0">SUM(E6:Q6)</f>
        <v>43780.9366925312</v>
      </c>
      <c r="E6" s="77">
        <f>E7+E8+E9</f>
        <v>0</v>
      </c>
      <c r="F6" s="77">
        <f>F7+F8+F9</f>
        <v>5596.83852668852</v>
      </c>
      <c r="G6" s="77">
        <f t="shared" ref="F6:Y6" si="1">G7+G8+G9</f>
        <v>3552.74801003279</v>
      </c>
      <c r="H6" s="77">
        <f t="shared" si="1"/>
        <v>3512.66572216393</v>
      </c>
      <c r="I6" s="77">
        <f t="shared" si="1"/>
        <v>3483.27204439344</v>
      </c>
      <c r="J6" s="77">
        <f t="shared" si="1"/>
        <v>3449.87013783607</v>
      </c>
      <c r="K6" s="77">
        <f t="shared" si="1"/>
        <v>3425.82076511475</v>
      </c>
      <c r="L6" s="77">
        <f t="shared" si="1"/>
        <v>3396.42708734426</v>
      </c>
      <c r="M6" s="77">
        <f t="shared" si="1"/>
        <v>3375.04986714754</v>
      </c>
      <c r="N6" s="77">
        <f t="shared" si="1"/>
        <v>3345.65618937705</v>
      </c>
      <c r="O6" s="77">
        <f t="shared" si="1"/>
        <v>3328.28719796721</v>
      </c>
      <c r="P6" s="77">
        <f t="shared" si="1"/>
        <v>3302.90174898361</v>
      </c>
      <c r="Q6" s="77">
        <f t="shared" si="1"/>
        <v>4011.399395482</v>
      </c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6"/>
      <c r="CK6" s="96"/>
      <c r="CL6" s="96"/>
      <c r="CM6" s="96"/>
      <c r="CN6" s="96"/>
      <c r="CO6" s="96"/>
      <c r="CP6" s="96"/>
      <c r="CQ6" s="96"/>
      <c r="CR6" s="96"/>
      <c r="CS6" s="96"/>
      <c r="CT6" s="96"/>
      <c r="CU6" s="96"/>
      <c r="CV6" s="96"/>
      <c r="CW6" s="96"/>
      <c r="CX6" s="96"/>
      <c r="CY6" s="96"/>
      <c r="CZ6" s="96"/>
      <c r="DA6" s="96"/>
      <c r="DB6" s="96"/>
      <c r="DC6" s="96"/>
      <c r="DD6" s="96"/>
      <c r="DE6" s="96"/>
      <c r="DF6" s="96"/>
      <c r="DG6" s="96"/>
      <c r="DH6" s="96"/>
      <c r="DI6" s="96"/>
      <c r="DJ6" s="96"/>
      <c r="DK6" s="96"/>
      <c r="DL6" s="96"/>
      <c r="DM6" s="96"/>
      <c r="DN6" s="96"/>
      <c r="DO6" s="96"/>
      <c r="DP6" s="96"/>
      <c r="DQ6" s="96"/>
      <c r="DR6" s="96"/>
      <c r="DS6" s="96"/>
      <c r="DT6" s="96"/>
      <c r="DU6" s="96"/>
      <c r="DV6" s="96"/>
      <c r="DW6" s="96"/>
      <c r="DX6" s="96"/>
      <c r="DY6" s="96"/>
      <c r="DZ6" s="96"/>
      <c r="EA6" s="96"/>
      <c r="EB6" s="96"/>
      <c r="EC6" s="96"/>
      <c r="ED6" s="96"/>
      <c r="EE6" s="96"/>
      <c r="EF6" s="96"/>
      <c r="EG6" s="96"/>
      <c r="EH6" s="96"/>
      <c r="EI6" s="96"/>
      <c r="EJ6" s="96"/>
      <c r="EK6" s="96"/>
      <c r="EL6" s="96"/>
      <c r="EM6" s="96"/>
      <c r="EN6" s="96"/>
      <c r="EO6" s="96"/>
      <c r="EP6" s="96"/>
      <c r="EQ6" s="96"/>
      <c r="ER6" s="96"/>
      <c r="ES6" s="96"/>
      <c r="ET6" s="96"/>
      <c r="EU6" s="96"/>
      <c r="EV6" s="96"/>
      <c r="EW6" s="96"/>
      <c r="EX6" s="96"/>
      <c r="EY6" s="96"/>
      <c r="EZ6" s="96"/>
      <c r="FA6" s="96"/>
      <c r="FB6" s="96"/>
      <c r="FC6" s="96"/>
      <c r="FD6" s="96"/>
      <c r="FE6" s="96"/>
      <c r="FF6" s="96"/>
      <c r="FG6" s="96"/>
      <c r="FH6" s="96"/>
      <c r="FI6" s="96"/>
      <c r="FJ6" s="96"/>
      <c r="FK6" s="96"/>
      <c r="FL6" s="96"/>
      <c r="FM6" s="96"/>
      <c r="FN6" s="96"/>
      <c r="FO6" s="96"/>
      <c r="FP6" s="96"/>
      <c r="FQ6" s="96"/>
      <c r="FR6" s="96"/>
      <c r="FS6" s="96"/>
      <c r="FT6" s="96"/>
      <c r="FU6" s="96"/>
      <c r="FV6" s="96"/>
      <c r="FW6" s="96"/>
      <c r="FX6" s="96"/>
      <c r="FY6" s="96"/>
      <c r="FZ6" s="96"/>
      <c r="GA6" s="96"/>
      <c r="GB6" s="96"/>
      <c r="GC6" s="96"/>
      <c r="GD6" s="96"/>
      <c r="GE6" s="96"/>
      <c r="GF6" s="96"/>
      <c r="GG6" s="96"/>
      <c r="GH6" s="96"/>
      <c r="GI6" s="96"/>
      <c r="GJ6" s="96"/>
      <c r="GK6" s="96"/>
      <c r="GL6" s="96"/>
      <c r="GM6" s="96"/>
      <c r="GN6" s="96"/>
      <c r="GO6" s="96"/>
      <c r="GP6" s="96"/>
      <c r="GQ6" s="96"/>
      <c r="GR6" s="96"/>
      <c r="GS6" s="96"/>
      <c r="GT6" s="96"/>
      <c r="GU6" s="96"/>
      <c r="GV6" s="96"/>
      <c r="GW6" s="96"/>
      <c r="GX6" s="96"/>
      <c r="GY6" s="96"/>
      <c r="GZ6" s="96"/>
      <c r="HA6" s="96"/>
      <c r="HB6" s="96"/>
      <c r="HC6" s="96"/>
      <c r="HD6" s="96"/>
      <c r="HE6" s="96"/>
      <c r="HF6" s="44"/>
      <c r="HG6" s="44"/>
      <c r="HH6" s="44"/>
      <c r="HI6" s="44"/>
      <c r="HJ6" s="44"/>
    </row>
    <row r="7" s="2" customFormat="1" ht="18" customHeight="1" spans="1:218">
      <c r="A7" s="96"/>
      <c r="B7" s="110">
        <v>1.1</v>
      </c>
      <c r="C7" s="111" t="s">
        <v>617</v>
      </c>
      <c r="D7" s="77">
        <f t="shared" si="0"/>
        <v>43055.0700546229</v>
      </c>
      <c r="E7" s="77">
        <f>'表2-利润与利润分配表'!E23</f>
        <v>0</v>
      </c>
      <c r="F7" s="77">
        <f>'表2-利润与利润分配表'!F23</f>
        <v>5596.83852668852</v>
      </c>
      <c r="G7" s="77">
        <f>'表2-利润与利润分配表'!G23</f>
        <v>3552.74801003279</v>
      </c>
      <c r="H7" s="77">
        <f>'表2-利润与利润分配表'!H23</f>
        <v>3512.66572216393</v>
      </c>
      <c r="I7" s="77">
        <f>'表2-利润与利润分配表'!I23</f>
        <v>3483.27204439344</v>
      </c>
      <c r="J7" s="77">
        <f>'表2-利润与利润分配表'!J23</f>
        <v>3449.87013783607</v>
      </c>
      <c r="K7" s="77">
        <f>'表2-利润与利润分配表'!K23</f>
        <v>3425.82076511475</v>
      </c>
      <c r="L7" s="77">
        <f>'表2-利润与利润分配表'!L23</f>
        <v>3396.42708734426</v>
      </c>
      <c r="M7" s="77">
        <f>'表2-利润与利润分配表'!M23</f>
        <v>3375.04986714754</v>
      </c>
      <c r="N7" s="77">
        <f>'表2-利润与利润分配表'!N23</f>
        <v>3345.65618937705</v>
      </c>
      <c r="O7" s="77">
        <f>'表2-利润与利润分配表'!O23</f>
        <v>3328.28719796721</v>
      </c>
      <c r="P7" s="77">
        <f>'表2-利润与利润分配表'!P23</f>
        <v>3302.90174898361</v>
      </c>
      <c r="Q7" s="77">
        <f>'表2-利润与利润分配表'!Q23</f>
        <v>3285.53275757377</v>
      </c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96"/>
      <c r="CL7" s="96"/>
      <c r="CM7" s="96"/>
      <c r="CN7" s="96"/>
      <c r="CO7" s="96"/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6"/>
      <c r="DA7" s="96"/>
      <c r="DB7" s="96"/>
      <c r="DC7" s="96"/>
      <c r="DD7" s="96"/>
      <c r="DE7" s="96"/>
      <c r="DF7" s="96"/>
      <c r="DG7" s="96"/>
      <c r="DH7" s="96"/>
      <c r="DI7" s="96"/>
      <c r="DJ7" s="96"/>
      <c r="DK7" s="96"/>
      <c r="DL7" s="96"/>
      <c r="DM7" s="96"/>
      <c r="DN7" s="96"/>
      <c r="DO7" s="96"/>
      <c r="DP7" s="96"/>
      <c r="DQ7" s="96"/>
      <c r="DR7" s="96"/>
      <c r="DS7" s="96"/>
      <c r="DT7" s="96"/>
      <c r="DU7" s="96"/>
      <c r="DV7" s="96"/>
      <c r="DW7" s="96"/>
      <c r="DX7" s="96"/>
      <c r="DY7" s="96"/>
      <c r="DZ7" s="96"/>
      <c r="EA7" s="96"/>
      <c r="EB7" s="96"/>
      <c r="EC7" s="96"/>
      <c r="ED7" s="96"/>
      <c r="EE7" s="96"/>
      <c r="EF7" s="96"/>
      <c r="EG7" s="96"/>
      <c r="EH7" s="96"/>
      <c r="EI7" s="96"/>
      <c r="EJ7" s="96"/>
      <c r="EK7" s="96"/>
      <c r="EL7" s="96"/>
      <c r="EM7" s="96"/>
      <c r="EN7" s="96"/>
      <c r="EO7" s="96"/>
      <c r="EP7" s="96"/>
      <c r="EQ7" s="96"/>
      <c r="ER7" s="96"/>
      <c r="ES7" s="96"/>
      <c r="ET7" s="96"/>
      <c r="EU7" s="96"/>
      <c r="EV7" s="96"/>
      <c r="EW7" s="96"/>
      <c r="EX7" s="96"/>
      <c r="EY7" s="96"/>
      <c r="EZ7" s="96"/>
      <c r="FA7" s="96"/>
      <c r="FB7" s="96"/>
      <c r="FC7" s="96"/>
      <c r="FD7" s="96"/>
      <c r="FE7" s="96"/>
      <c r="FF7" s="96"/>
      <c r="FG7" s="96"/>
      <c r="FH7" s="96"/>
      <c r="FI7" s="96"/>
      <c r="FJ7" s="96"/>
      <c r="FK7" s="96"/>
      <c r="FL7" s="96"/>
      <c r="FM7" s="96"/>
      <c r="FN7" s="96"/>
      <c r="FO7" s="96"/>
      <c r="FP7" s="96"/>
      <c r="FQ7" s="96"/>
      <c r="FR7" s="96"/>
      <c r="FS7" s="96"/>
      <c r="FT7" s="96"/>
      <c r="FU7" s="96"/>
      <c r="FV7" s="96"/>
      <c r="FW7" s="96"/>
      <c r="FX7" s="96"/>
      <c r="FY7" s="96"/>
      <c r="FZ7" s="96"/>
      <c r="GA7" s="96"/>
      <c r="GB7" s="96"/>
      <c r="GC7" s="96"/>
      <c r="GD7" s="96"/>
      <c r="GE7" s="96"/>
      <c r="GF7" s="96"/>
      <c r="GG7" s="96"/>
      <c r="GH7" s="96"/>
      <c r="GI7" s="96"/>
      <c r="GJ7" s="96"/>
      <c r="GK7" s="96"/>
      <c r="GL7" s="96"/>
      <c r="GM7" s="96"/>
      <c r="GN7" s="96"/>
      <c r="GO7" s="96"/>
      <c r="GP7" s="96"/>
      <c r="GQ7" s="96"/>
      <c r="GR7" s="96"/>
      <c r="GS7" s="96"/>
      <c r="GT7" s="96"/>
      <c r="GU7" s="96"/>
      <c r="GV7" s="96"/>
      <c r="GW7" s="96"/>
      <c r="GX7" s="96"/>
      <c r="GY7" s="96"/>
      <c r="GZ7" s="96"/>
      <c r="HA7" s="96"/>
      <c r="HB7" s="96"/>
      <c r="HC7" s="96"/>
      <c r="HD7" s="96"/>
      <c r="HE7" s="96"/>
      <c r="HF7" s="44"/>
      <c r="HG7" s="44"/>
      <c r="HH7" s="44"/>
      <c r="HI7" s="44"/>
      <c r="HJ7" s="44"/>
    </row>
    <row r="8" s="2" customFormat="1" ht="18" customHeight="1" spans="1:218">
      <c r="A8" s="96"/>
      <c r="B8" s="110" t="s">
        <v>641</v>
      </c>
      <c r="C8" s="111" t="s">
        <v>642</v>
      </c>
      <c r="D8" s="77">
        <f t="shared" si="0"/>
        <v>725.866637908234</v>
      </c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>
        <f>分类折旧!L77*0.05</f>
        <v>725.866637908234</v>
      </c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96"/>
      <c r="CL8" s="96"/>
      <c r="CM8" s="96"/>
      <c r="CN8" s="96"/>
      <c r="CO8" s="96"/>
      <c r="CP8" s="96"/>
      <c r="CQ8" s="96"/>
      <c r="CR8" s="96"/>
      <c r="CS8" s="96"/>
      <c r="CT8" s="96"/>
      <c r="CU8" s="96"/>
      <c r="CV8" s="96"/>
      <c r="CW8" s="96"/>
      <c r="CX8" s="96"/>
      <c r="CY8" s="96"/>
      <c r="CZ8" s="96"/>
      <c r="DA8" s="96"/>
      <c r="DB8" s="96"/>
      <c r="DC8" s="96"/>
      <c r="DD8" s="96"/>
      <c r="DE8" s="96"/>
      <c r="DF8" s="96"/>
      <c r="DG8" s="96"/>
      <c r="DH8" s="96"/>
      <c r="DI8" s="96"/>
      <c r="DJ8" s="96"/>
      <c r="DK8" s="96"/>
      <c r="DL8" s="96"/>
      <c r="DM8" s="96"/>
      <c r="DN8" s="96"/>
      <c r="DO8" s="96"/>
      <c r="DP8" s="96"/>
      <c r="DQ8" s="96"/>
      <c r="DR8" s="96"/>
      <c r="DS8" s="96"/>
      <c r="DT8" s="96"/>
      <c r="DU8" s="96"/>
      <c r="DV8" s="96"/>
      <c r="DW8" s="96"/>
      <c r="DX8" s="96"/>
      <c r="DY8" s="96"/>
      <c r="DZ8" s="96"/>
      <c r="EA8" s="96"/>
      <c r="EB8" s="96"/>
      <c r="EC8" s="96"/>
      <c r="ED8" s="96"/>
      <c r="EE8" s="96"/>
      <c r="EF8" s="96"/>
      <c r="EG8" s="96"/>
      <c r="EH8" s="96"/>
      <c r="EI8" s="96"/>
      <c r="EJ8" s="96"/>
      <c r="EK8" s="96"/>
      <c r="EL8" s="96"/>
      <c r="EM8" s="96"/>
      <c r="EN8" s="96"/>
      <c r="EO8" s="96"/>
      <c r="EP8" s="96"/>
      <c r="EQ8" s="96"/>
      <c r="ER8" s="96"/>
      <c r="ES8" s="96"/>
      <c r="ET8" s="96"/>
      <c r="EU8" s="96"/>
      <c r="EV8" s="96"/>
      <c r="EW8" s="96"/>
      <c r="EX8" s="96"/>
      <c r="EY8" s="96"/>
      <c r="EZ8" s="96"/>
      <c r="FA8" s="96"/>
      <c r="FB8" s="96"/>
      <c r="FC8" s="96"/>
      <c r="FD8" s="96"/>
      <c r="FE8" s="96"/>
      <c r="FF8" s="96"/>
      <c r="FG8" s="96"/>
      <c r="FH8" s="96"/>
      <c r="FI8" s="96"/>
      <c r="FJ8" s="96"/>
      <c r="FK8" s="96"/>
      <c r="FL8" s="96"/>
      <c r="FM8" s="96"/>
      <c r="FN8" s="96"/>
      <c r="FO8" s="96"/>
      <c r="FP8" s="96"/>
      <c r="FQ8" s="96"/>
      <c r="FR8" s="96"/>
      <c r="FS8" s="96"/>
      <c r="FT8" s="96"/>
      <c r="FU8" s="96"/>
      <c r="FV8" s="96"/>
      <c r="FW8" s="96"/>
      <c r="FX8" s="96"/>
      <c r="FY8" s="96"/>
      <c r="FZ8" s="96"/>
      <c r="GA8" s="96"/>
      <c r="GB8" s="96"/>
      <c r="GC8" s="96"/>
      <c r="GD8" s="96"/>
      <c r="GE8" s="96"/>
      <c r="GF8" s="96"/>
      <c r="GG8" s="96"/>
      <c r="GH8" s="96"/>
      <c r="GI8" s="96"/>
      <c r="GJ8" s="96"/>
      <c r="GK8" s="96"/>
      <c r="GL8" s="96"/>
      <c r="GM8" s="96"/>
      <c r="GN8" s="96"/>
      <c r="GO8" s="96"/>
      <c r="GP8" s="96"/>
      <c r="GQ8" s="96"/>
      <c r="GR8" s="96"/>
      <c r="GS8" s="96"/>
      <c r="GT8" s="96"/>
      <c r="GU8" s="96"/>
      <c r="GV8" s="96"/>
      <c r="GW8" s="96"/>
      <c r="GX8" s="96"/>
      <c r="GY8" s="96"/>
      <c r="GZ8" s="96"/>
      <c r="HA8" s="96"/>
      <c r="HB8" s="96"/>
      <c r="HC8" s="96"/>
      <c r="HD8" s="96"/>
      <c r="HE8" s="96"/>
      <c r="HF8" s="44"/>
      <c r="HG8" s="44"/>
      <c r="HH8" s="44"/>
      <c r="HI8" s="44"/>
      <c r="HJ8" s="44"/>
    </row>
    <row r="9" s="2" customFormat="1" ht="18" customHeight="1" spans="1:218">
      <c r="A9" s="96"/>
      <c r="B9" s="110" t="s">
        <v>643</v>
      </c>
      <c r="C9" s="111" t="s">
        <v>644</v>
      </c>
      <c r="D9" s="77">
        <f t="shared" si="0"/>
        <v>0</v>
      </c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96"/>
      <c r="CW9" s="96"/>
      <c r="CX9" s="96"/>
      <c r="CY9" s="96"/>
      <c r="CZ9" s="96"/>
      <c r="DA9" s="96"/>
      <c r="DB9" s="96"/>
      <c r="DC9" s="96"/>
      <c r="DD9" s="96"/>
      <c r="DE9" s="96"/>
      <c r="DF9" s="96"/>
      <c r="DG9" s="96"/>
      <c r="DH9" s="96"/>
      <c r="DI9" s="96"/>
      <c r="DJ9" s="96"/>
      <c r="DK9" s="96"/>
      <c r="DL9" s="96"/>
      <c r="DM9" s="96"/>
      <c r="DN9" s="96"/>
      <c r="DO9" s="96"/>
      <c r="DP9" s="96"/>
      <c r="DQ9" s="96"/>
      <c r="DR9" s="96"/>
      <c r="DS9" s="96"/>
      <c r="DT9" s="96"/>
      <c r="DU9" s="96"/>
      <c r="DV9" s="96"/>
      <c r="DW9" s="96"/>
      <c r="DX9" s="96"/>
      <c r="DY9" s="96"/>
      <c r="DZ9" s="96"/>
      <c r="EA9" s="96"/>
      <c r="EB9" s="96"/>
      <c r="EC9" s="96"/>
      <c r="ED9" s="96"/>
      <c r="EE9" s="96"/>
      <c r="EF9" s="96"/>
      <c r="EG9" s="96"/>
      <c r="EH9" s="96"/>
      <c r="EI9" s="96"/>
      <c r="EJ9" s="96"/>
      <c r="EK9" s="96"/>
      <c r="EL9" s="96"/>
      <c r="EM9" s="96"/>
      <c r="EN9" s="96"/>
      <c r="EO9" s="96"/>
      <c r="EP9" s="96"/>
      <c r="EQ9" s="96"/>
      <c r="ER9" s="96"/>
      <c r="ES9" s="96"/>
      <c r="ET9" s="96"/>
      <c r="EU9" s="96"/>
      <c r="EV9" s="96"/>
      <c r="EW9" s="96"/>
      <c r="EX9" s="96"/>
      <c r="EY9" s="96"/>
      <c r="EZ9" s="96"/>
      <c r="FA9" s="96"/>
      <c r="FB9" s="96"/>
      <c r="FC9" s="96"/>
      <c r="FD9" s="96"/>
      <c r="FE9" s="96"/>
      <c r="FF9" s="96"/>
      <c r="FG9" s="96"/>
      <c r="FH9" s="96"/>
      <c r="FI9" s="96"/>
      <c r="FJ9" s="96"/>
      <c r="FK9" s="96"/>
      <c r="FL9" s="96"/>
      <c r="FM9" s="96"/>
      <c r="FN9" s="96"/>
      <c r="FO9" s="96"/>
      <c r="FP9" s="96"/>
      <c r="FQ9" s="96"/>
      <c r="FR9" s="96"/>
      <c r="FS9" s="96"/>
      <c r="FT9" s="96"/>
      <c r="FU9" s="96"/>
      <c r="FV9" s="96"/>
      <c r="FW9" s="96"/>
      <c r="FX9" s="96"/>
      <c r="FY9" s="96"/>
      <c r="FZ9" s="96"/>
      <c r="GA9" s="96"/>
      <c r="GB9" s="96"/>
      <c r="GC9" s="96"/>
      <c r="GD9" s="96"/>
      <c r="GE9" s="96"/>
      <c r="GF9" s="96"/>
      <c r="GG9" s="96"/>
      <c r="GH9" s="96"/>
      <c r="GI9" s="96"/>
      <c r="GJ9" s="96"/>
      <c r="GK9" s="96"/>
      <c r="GL9" s="96"/>
      <c r="GM9" s="96"/>
      <c r="GN9" s="96"/>
      <c r="GO9" s="96"/>
      <c r="GP9" s="96"/>
      <c r="GQ9" s="96"/>
      <c r="GR9" s="96"/>
      <c r="GS9" s="96"/>
      <c r="GT9" s="96"/>
      <c r="GU9" s="96"/>
      <c r="GV9" s="96"/>
      <c r="GW9" s="96"/>
      <c r="GX9" s="96"/>
      <c r="GY9" s="96"/>
      <c r="GZ9" s="96"/>
      <c r="HA9" s="96"/>
      <c r="HB9" s="96"/>
      <c r="HC9" s="96"/>
      <c r="HD9" s="96"/>
      <c r="HE9" s="96"/>
      <c r="HF9" s="44"/>
      <c r="HG9" s="44"/>
      <c r="HH9" s="44"/>
      <c r="HI9" s="44"/>
      <c r="HJ9" s="44"/>
    </row>
    <row r="10" s="2" customFormat="1" ht="18" customHeight="1" spans="1:218">
      <c r="A10" s="96"/>
      <c r="B10" s="110">
        <v>2</v>
      </c>
      <c r="C10" s="111" t="s">
        <v>645</v>
      </c>
      <c r="D10" s="77">
        <f t="shared" si="0"/>
        <v>37396.1078615903</v>
      </c>
      <c r="E10" s="77">
        <f>E11+E12+E13+E14+E15+E16</f>
        <v>15846.2586</v>
      </c>
      <c r="F10" s="77">
        <f>F11+F12+F13+F14+F15+F16</f>
        <v>1653.47611552305</v>
      </c>
      <c r="G10" s="77">
        <f t="shared" ref="E10:Q10" si="2">G11+G12+G13+G14+G15+G16</f>
        <v>1637.86569203031</v>
      </c>
      <c r="H10" s="77">
        <f t="shared" si="2"/>
        <v>1633.9550598963</v>
      </c>
      <c r="I10" s="77">
        <f t="shared" si="2"/>
        <v>1885.44128063429</v>
      </c>
      <c r="J10" s="77">
        <f t="shared" si="2"/>
        <v>1874.7268358098</v>
      </c>
      <c r="K10" s="77">
        <f t="shared" si="2"/>
        <v>1864.30420563265</v>
      </c>
      <c r="L10" s="77">
        <f t="shared" si="2"/>
        <v>1850.60339090843</v>
      </c>
      <c r="M10" s="77">
        <f t="shared" si="2"/>
        <v>1842.18438622964</v>
      </c>
      <c r="N10" s="77">
        <f t="shared" si="2"/>
        <v>1837.54048762201</v>
      </c>
      <c r="O10" s="77">
        <f t="shared" si="2"/>
        <v>1831.99806610801</v>
      </c>
      <c r="P10" s="77">
        <f t="shared" si="2"/>
        <v>1821.48394542093</v>
      </c>
      <c r="Q10" s="77">
        <f t="shared" si="2"/>
        <v>1816.26979577488</v>
      </c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/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/>
      <c r="EN10" s="96"/>
      <c r="EO10" s="96"/>
      <c r="EP10" s="96"/>
      <c r="EQ10" s="96"/>
      <c r="ER10" s="96"/>
      <c r="ES10" s="96"/>
      <c r="ET10" s="96"/>
      <c r="EU10" s="96"/>
      <c r="EV10" s="96"/>
      <c r="EW10" s="96"/>
      <c r="EX10" s="96"/>
      <c r="EY10" s="96"/>
      <c r="EZ10" s="96"/>
      <c r="FA10" s="96"/>
      <c r="FB10" s="96"/>
      <c r="FC10" s="96"/>
      <c r="FD10" s="96"/>
      <c r="FE10" s="96"/>
      <c r="FF10" s="96"/>
      <c r="FG10" s="96"/>
      <c r="FH10" s="96"/>
      <c r="FI10" s="96"/>
      <c r="FJ10" s="96"/>
      <c r="FK10" s="96"/>
      <c r="FL10" s="96"/>
      <c r="FM10" s="96"/>
      <c r="FN10" s="96"/>
      <c r="FO10" s="96"/>
      <c r="FP10" s="96"/>
      <c r="FQ10" s="96"/>
      <c r="FR10" s="96"/>
      <c r="FS10" s="96"/>
      <c r="FT10" s="96"/>
      <c r="FU10" s="96"/>
      <c r="FV10" s="96"/>
      <c r="FW10" s="96"/>
      <c r="FX10" s="96"/>
      <c r="FY10" s="96"/>
      <c r="FZ10" s="96"/>
      <c r="GA10" s="96"/>
      <c r="GB10" s="96"/>
      <c r="GC10" s="96"/>
      <c r="GD10" s="96"/>
      <c r="GE10" s="96"/>
      <c r="GF10" s="96"/>
      <c r="GG10" s="96"/>
      <c r="GH10" s="96"/>
      <c r="GI10" s="96"/>
      <c r="GJ10" s="96"/>
      <c r="GK10" s="96"/>
      <c r="GL10" s="96"/>
      <c r="GM10" s="96"/>
      <c r="GN10" s="96"/>
      <c r="GO10" s="96"/>
      <c r="GP10" s="96"/>
      <c r="GQ10" s="96"/>
      <c r="GR10" s="96"/>
      <c r="GS10" s="96"/>
      <c r="GT10" s="96"/>
      <c r="GU10" s="96"/>
      <c r="GV10" s="96"/>
      <c r="GW10" s="96"/>
      <c r="GX10" s="96"/>
      <c r="GY10" s="96"/>
      <c r="GZ10" s="96"/>
      <c r="HA10" s="96"/>
      <c r="HB10" s="96"/>
      <c r="HC10" s="96"/>
      <c r="HD10" s="96"/>
      <c r="HE10" s="96"/>
      <c r="HF10" s="44"/>
      <c r="HG10" s="44"/>
      <c r="HH10" s="44"/>
      <c r="HI10" s="44"/>
      <c r="HJ10" s="44"/>
    </row>
    <row r="11" s="2" customFormat="1" ht="18" customHeight="1" spans="1:218">
      <c r="A11" s="96"/>
      <c r="B11" s="110">
        <v>2.1</v>
      </c>
      <c r="C11" s="111" t="s">
        <v>646</v>
      </c>
      <c r="D11" s="77">
        <f t="shared" si="0"/>
        <v>15846.2586</v>
      </c>
      <c r="E11" s="77">
        <f>'表1-投资计划与资金筹措表'!E7</f>
        <v>15846.2586</v>
      </c>
      <c r="F11" s="77">
        <f>'表1-投资计划与资金筹措表'!F7</f>
        <v>0</v>
      </c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6"/>
      <c r="CW11" s="96"/>
      <c r="CX11" s="96"/>
      <c r="CY11" s="96"/>
      <c r="CZ11" s="96"/>
      <c r="DA11" s="96"/>
      <c r="DB11" s="96"/>
      <c r="DC11" s="96"/>
      <c r="DD11" s="96"/>
      <c r="DE11" s="96"/>
      <c r="DF11" s="96"/>
      <c r="DG11" s="96"/>
      <c r="DH11" s="96"/>
      <c r="DI11" s="96"/>
      <c r="DJ11" s="96"/>
      <c r="DK11" s="96"/>
      <c r="DL11" s="96"/>
      <c r="DM11" s="96"/>
      <c r="DN11" s="96"/>
      <c r="DO11" s="96"/>
      <c r="DP11" s="96"/>
      <c r="DQ11" s="96"/>
      <c r="DR11" s="96"/>
      <c r="DS11" s="96"/>
      <c r="DT11" s="96"/>
      <c r="DU11" s="96"/>
      <c r="DV11" s="96"/>
      <c r="DW11" s="96"/>
      <c r="DX11" s="96"/>
      <c r="DY11" s="96"/>
      <c r="DZ11" s="96"/>
      <c r="EA11" s="96"/>
      <c r="EB11" s="96"/>
      <c r="EC11" s="96"/>
      <c r="ED11" s="96"/>
      <c r="EE11" s="96"/>
      <c r="EF11" s="96"/>
      <c r="EG11" s="96"/>
      <c r="EH11" s="96"/>
      <c r="EI11" s="96"/>
      <c r="EJ11" s="96"/>
      <c r="EK11" s="96"/>
      <c r="EL11" s="96"/>
      <c r="EM11" s="96"/>
      <c r="EN11" s="96"/>
      <c r="EO11" s="96"/>
      <c r="EP11" s="96"/>
      <c r="EQ11" s="96"/>
      <c r="ER11" s="96"/>
      <c r="ES11" s="96"/>
      <c r="ET11" s="96"/>
      <c r="EU11" s="96"/>
      <c r="EV11" s="96"/>
      <c r="EW11" s="96"/>
      <c r="EX11" s="96"/>
      <c r="EY11" s="96"/>
      <c r="EZ11" s="96"/>
      <c r="FA11" s="96"/>
      <c r="FB11" s="96"/>
      <c r="FC11" s="96"/>
      <c r="FD11" s="96"/>
      <c r="FE11" s="96"/>
      <c r="FF11" s="96"/>
      <c r="FG11" s="96"/>
      <c r="FH11" s="96"/>
      <c r="FI11" s="96"/>
      <c r="FJ11" s="96"/>
      <c r="FK11" s="96"/>
      <c r="FL11" s="96"/>
      <c r="FM11" s="96"/>
      <c r="FN11" s="96"/>
      <c r="FO11" s="96"/>
      <c r="FP11" s="96"/>
      <c r="FQ11" s="96"/>
      <c r="FR11" s="96"/>
      <c r="FS11" s="96"/>
      <c r="FT11" s="96"/>
      <c r="FU11" s="96"/>
      <c r="FV11" s="96"/>
      <c r="FW11" s="96"/>
      <c r="FX11" s="96"/>
      <c r="FY11" s="96"/>
      <c r="FZ11" s="96"/>
      <c r="GA11" s="96"/>
      <c r="GB11" s="96"/>
      <c r="GC11" s="96"/>
      <c r="GD11" s="96"/>
      <c r="GE11" s="96"/>
      <c r="GF11" s="96"/>
      <c r="GG11" s="96"/>
      <c r="GH11" s="96"/>
      <c r="GI11" s="96"/>
      <c r="GJ11" s="96"/>
      <c r="GK11" s="96"/>
      <c r="GL11" s="96"/>
      <c r="GM11" s="96"/>
      <c r="GN11" s="96"/>
      <c r="GO11" s="96"/>
      <c r="GP11" s="96"/>
      <c r="GQ11" s="96"/>
      <c r="GR11" s="96"/>
      <c r="GS11" s="96"/>
      <c r="GT11" s="96"/>
      <c r="GU11" s="96"/>
      <c r="GV11" s="96"/>
      <c r="GW11" s="96"/>
      <c r="GX11" s="96"/>
      <c r="GY11" s="96"/>
      <c r="GZ11" s="96"/>
      <c r="HA11" s="96"/>
      <c r="HB11" s="96"/>
      <c r="HC11" s="96"/>
      <c r="HD11" s="96"/>
      <c r="HE11" s="96"/>
      <c r="HF11" s="44"/>
      <c r="HG11" s="44"/>
      <c r="HH11" s="44"/>
      <c r="HI11" s="44"/>
      <c r="HJ11" s="44"/>
    </row>
    <row r="12" s="2" customFormat="1" ht="18" customHeight="1" spans="1:218">
      <c r="A12" s="96"/>
      <c r="B12" s="110">
        <v>2.2</v>
      </c>
      <c r="C12" s="111" t="s">
        <v>647</v>
      </c>
      <c r="D12" s="77">
        <f t="shared" si="0"/>
        <v>0</v>
      </c>
      <c r="E12" s="77"/>
      <c r="F12" s="77"/>
      <c r="G12" s="77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6"/>
      <c r="CW12" s="96"/>
      <c r="CX12" s="96"/>
      <c r="CY12" s="96"/>
      <c r="CZ12" s="96"/>
      <c r="DA12" s="96"/>
      <c r="DB12" s="96"/>
      <c r="DC12" s="96"/>
      <c r="DD12" s="96"/>
      <c r="DE12" s="96"/>
      <c r="DF12" s="96"/>
      <c r="DG12" s="96"/>
      <c r="DH12" s="96"/>
      <c r="DI12" s="96"/>
      <c r="DJ12" s="96"/>
      <c r="DK12" s="96"/>
      <c r="DL12" s="96"/>
      <c r="DM12" s="96"/>
      <c r="DN12" s="96"/>
      <c r="DO12" s="96"/>
      <c r="DP12" s="96"/>
      <c r="DQ12" s="96"/>
      <c r="DR12" s="96"/>
      <c r="DS12" s="96"/>
      <c r="DT12" s="96"/>
      <c r="DU12" s="96"/>
      <c r="DV12" s="96"/>
      <c r="DW12" s="96"/>
      <c r="DX12" s="96"/>
      <c r="DY12" s="96"/>
      <c r="DZ12" s="96"/>
      <c r="EA12" s="96"/>
      <c r="EB12" s="96"/>
      <c r="EC12" s="96"/>
      <c r="ED12" s="96"/>
      <c r="EE12" s="96"/>
      <c r="EF12" s="96"/>
      <c r="EG12" s="96"/>
      <c r="EH12" s="96"/>
      <c r="EI12" s="96"/>
      <c r="EJ12" s="96"/>
      <c r="EK12" s="96"/>
      <c r="EL12" s="96"/>
      <c r="EM12" s="96"/>
      <c r="EN12" s="96"/>
      <c r="EO12" s="96"/>
      <c r="EP12" s="96"/>
      <c r="EQ12" s="96"/>
      <c r="ER12" s="96"/>
      <c r="ES12" s="96"/>
      <c r="ET12" s="96"/>
      <c r="EU12" s="96"/>
      <c r="EV12" s="96"/>
      <c r="EW12" s="96"/>
      <c r="EX12" s="96"/>
      <c r="EY12" s="96"/>
      <c r="EZ12" s="96"/>
      <c r="FA12" s="96"/>
      <c r="FB12" s="96"/>
      <c r="FC12" s="96"/>
      <c r="FD12" s="96"/>
      <c r="FE12" s="96"/>
      <c r="FF12" s="96"/>
      <c r="FG12" s="96"/>
      <c r="FH12" s="96"/>
      <c r="FI12" s="96"/>
      <c r="FJ12" s="96"/>
      <c r="FK12" s="96"/>
      <c r="FL12" s="96"/>
      <c r="FM12" s="96"/>
      <c r="FN12" s="96"/>
      <c r="FO12" s="96"/>
      <c r="FP12" s="96"/>
      <c r="FQ12" s="96"/>
      <c r="FR12" s="96"/>
      <c r="FS12" s="96"/>
      <c r="FT12" s="96"/>
      <c r="FU12" s="96"/>
      <c r="FV12" s="96"/>
      <c r="FW12" s="96"/>
      <c r="FX12" s="96"/>
      <c r="FY12" s="96"/>
      <c r="FZ12" s="96"/>
      <c r="GA12" s="96"/>
      <c r="GB12" s="96"/>
      <c r="GC12" s="96"/>
      <c r="GD12" s="96"/>
      <c r="GE12" s="96"/>
      <c r="GF12" s="96"/>
      <c r="GG12" s="96"/>
      <c r="GH12" s="96"/>
      <c r="GI12" s="96"/>
      <c r="GJ12" s="96"/>
      <c r="GK12" s="96"/>
      <c r="GL12" s="96"/>
      <c r="GM12" s="96"/>
      <c r="GN12" s="96"/>
      <c r="GO12" s="96"/>
      <c r="GP12" s="96"/>
      <c r="GQ12" s="96"/>
      <c r="GR12" s="96"/>
      <c r="GS12" s="96"/>
      <c r="GT12" s="96"/>
      <c r="GU12" s="96"/>
      <c r="GV12" s="96"/>
      <c r="GW12" s="96"/>
      <c r="GX12" s="96"/>
      <c r="GY12" s="96"/>
      <c r="GZ12" s="96"/>
      <c r="HA12" s="96"/>
      <c r="HB12" s="96"/>
      <c r="HC12" s="96"/>
      <c r="HD12" s="96"/>
      <c r="HE12" s="96"/>
      <c r="HF12" s="44"/>
      <c r="HG12" s="44"/>
      <c r="HH12" s="44"/>
      <c r="HI12" s="44"/>
      <c r="HJ12" s="44"/>
    </row>
    <row r="13" s="2" customFormat="1" ht="18" customHeight="1" spans="1:218">
      <c r="A13" s="96"/>
      <c r="B13" s="110">
        <v>2.3</v>
      </c>
      <c r="C13" s="111" t="s">
        <v>648</v>
      </c>
      <c r="D13" s="77">
        <f t="shared" si="0"/>
        <v>19073.7905094689</v>
      </c>
      <c r="E13" s="77">
        <f>'表6-运营成本费用表'!E17</f>
        <v>0</v>
      </c>
      <c r="F13" s="77">
        <f>'表6-运营成本费用表'!F17</f>
        <v>1653.47611552305</v>
      </c>
      <c r="G13" s="77">
        <f>'表6-运营成本费用表'!G17</f>
        <v>1637.86569203031</v>
      </c>
      <c r="H13" s="77">
        <f>'表6-运营成本费用表'!H17</f>
        <v>1618.89996038799</v>
      </c>
      <c r="I13" s="77">
        <f>'表6-运营成本费用表'!I17</f>
        <v>1606.34247260462</v>
      </c>
      <c r="J13" s="77">
        <f>'表6-运营成本费用表'!J17</f>
        <v>1597.40476030995</v>
      </c>
      <c r="K13" s="77">
        <f>'表6-运营成本费用表'!K17</f>
        <v>1588.26137755427</v>
      </c>
      <c r="L13" s="77">
        <f>'表6-运营成本费用表'!L17</f>
        <v>1576.12408745628</v>
      </c>
      <c r="M13" s="77">
        <f>'表6-运营成本费用表'!M17</f>
        <v>1568.84219159657</v>
      </c>
      <c r="N13" s="77">
        <f>'表6-运营成本费用表'!N17</f>
        <v>1565.76181761517</v>
      </c>
      <c r="O13" s="77">
        <f>'表6-运营成本费用表'!O17</f>
        <v>1561.14329701668</v>
      </c>
      <c r="P13" s="77">
        <f>'表6-运营成本费用表'!P17</f>
        <v>1551.97949305226</v>
      </c>
      <c r="Q13" s="77">
        <f>'表6-运营成本费用表'!Q17</f>
        <v>1547.68924432171</v>
      </c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6"/>
      <c r="CK13" s="96"/>
      <c r="CL13" s="96"/>
      <c r="CM13" s="96"/>
      <c r="CN13" s="96"/>
      <c r="CO13" s="96"/>
      <c r="CP13" s="96"/>
      <c r="CQ13" s="96"/>
      <c r="CR13" s="96"/>
      <c r="CS13" s="96"/>
      <c r="CT13" s="96"/>
      <c r="CU13" s="96"/>
      <c r="CV13" s="96"/>
      <c r="CW13" s="96"/>
      <c r="CX13" s="96"/>
      <c r="CY13" s="96"/>
      <c r="CZ13" s="96"/>
      <c r="DA13" s="96"/>
      <c r="DB13" s="96"/>
      <c r="DC13" s="96"/>
      <c r="DD13" s="96"/>
      <c r="DE13" s="96"/>
      <c r="DF13" s="96"/>
      <c r="DG13" s="96"/>
      <c r="DH13" s="96"/>
      <c r="DI13" s="96"/>
      <c r="DJ13" s="96"/>
      <c r="DK13" s="96"/>
      <c r="DL13" s="96"/>
      <c r="DM13" s="96"/>
      <c r="DN13" s="96"/>
      <c r="DO13" s="96"/>
      <c r="DP13" s="96"/>
      <c r="DQ13" s="96"/>
      <c r="DR13" s="96"/>
      <c r="DS13" s="96"/>
      <c r="DT13" s="96"/>
      <c r="DU13" s="96"/>
      <c r="DV13" s="96"/>
      <c r="DW13" s="96"/>
      <c r="DX13" s="96"/>
      <c r="DY13" s="96"/>
      <c r="DZ13" s="96"/>
      <c r="EA13" s="96"/>
      <c r="EB13" s="96"/>
      <c r="EC13" s="96"/>
      <c r="ED13" s="96"/>
      <c r="EE13" s="96"/>
      <c r="EF13" s="96"/>
      <c r="EG13" s="96"/>
      <c r="EH13" s="96"/>
      <c r="EI13" s="96"/>
      <c r="EJ13" s="96"/>
      <c r="EK13" s="96"/>
      <c r="EL13" s="96"/>
      <c r="EM13" s="96"/>
      <c r="EN13" s="96"/>
      <c r="EO13" s="96"/>
      <c r="EP13" s="96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6"/>
      <c r="FB13" s="96"/>
      <c r="FC13" s="96"/>
      <c r="FD13" s="96"/>
      <c r="FE13" s="96"/>
      <c r="FF13" s="96"/>
      <c r="FG13" s="96"/>
      <c r="FH13" s="96"/>
      <c r="FI13" s="96"/>
      <c r="FJ13" s="96"/>
      <c r="FK13" s="96"/>
      <c r="FL13" s="96"/>
      <c r="FM13" s="96"/>
      <c r="FN13" s="96"/>
      <c r="FO13" s="96"/>
      <c r="FP13" s="96"/>
      <c r="FQ13" s="96"/>
      <c r="FR13" s="96"/>
      <c r="FS13" s="96"/>
      <c r="FT13" s="96"/>
      <c r="FU13" s="96"/>
      <c r="FV13" s="96"/>
      <c r="FW13" s="96"/>
      <c r="FX13" s="96"/>
      <c r="FY13" s="96"/>
      <c r="FZ13" s="96"/>
      <c r="GA13" s="96"/>
      <c r="GB13" s="96"/>
      <c r="GC13" s="96"/>
      <c r="GD13" s="96"/>
      <c r="GE13" s="96"/>
      <c r="GF13" s="96"/>
      <c r="GG13" s="96"/>
      <c r="GH13" s="96"/>
      <c r="GI13" s="96"/>
      <c r="GJ13" s="96"/>
      <c r="GK13" s="96"/>
      <c r="GL13" s="96"/>
      <c r="GM13" s="96"/>
      <c r="GN13" s="96"/>
      <c r="GO13" s="96"/>
      <c r="GP13" s="96"/>
      <c r="GQ13" s="96"/>
      <c r="GR13" s="96"/>
      <c r="GS13" s="96"/>
      <c r="GT13" s="96"/>
      <c r="GU13" s="96"/>
      <c r="GV13" s="96"/>
      <c r="GW13" s="96"/>
      <c r="GX13" s="96"/>
      <c r="GY13" s="96"/>
      <c r="GZ13" s="96"/>
      <c r="HA13" s="96"/>
      <c r="HB13" s="96"/>
      <c r="HC13" s="96"/>
      <c r="HD13" s="96"/>
      <c r="HE13" s="96"/>
      <c r="HF13" s="44"/>
      <c r="HG13" s="44"/>
      <c r="HH13" s="44"/>
      <c r="HI13" s="44"/>
      <c r="HJ13" s="44"/>
    </row>
    <row r="14" s="2" customFormat="1" ht="18" customHeight="1" spans="1:218">
      <c r="A14" s="96"/>
      <c r="B14" s="110">
        <v>2.4</v>
      </c>
      <c r="C14" s="111" t="s">
        <v>622</v>
      </c>
      <c r="D14" s="77">
        <f t="shared" ref="D14:D20" si="3">SUM(E14:Q14)</f>
        <v>2210.76674296559</v>
      </c>
      <c r="E14" s="77">
        <f>'表2-利润与利润分配表'!E29</f>
        <v>0</v>
      </c>
      <c r="F14" s="77">
        <f>'表2-利润与利润分配表'!F29</f>
        <v>0</v>
      </c>
      <c r="G14" s="77">
        <f>'表2-利润与利润分配表'!G29</f>
        <v>0</v>
      </c>
      <c r="H14" s="77">
        <f>'表2-利润与利润分配表'!H29</f>
        <v>13.4420531324247</v>
      </c>
      <c r="I14" s="77">
        <f>'表2-利润与利润分配表'!I29</f>
        <v>249.195364312201</v>
      </c>
      <c r="J14" s="77">
        <f>'表2-利润与利润分配表'!J29</f>
        <v>247.608995982011</v>
      </c>
      <c r="K14" s="77">
        <f>'表2-利润与利润分配表'!K29</f>
        <v>246.466810784273</v>
      </c>
      <c r="L14" s="77">
        <f>'表2-利润与利润分配表'!L29</f>
        <v>245.070806653706</v>
      </c>
      <c r="M14" s="77">
        <f>'表2-利润与利润分配表'!M29</f>
        <v>244.055530922385</v>
      </c>
      <c r="N14" s="77">
        <f>'表2-利润与利润分配表'!N29</f>
        <v>242.659526791817</v>
      </c>
      <c r="O14" s="77">
        <f>'表2-利润与利润分配表'!O29</f>
        <v>241.834615260119</v>
      </c>
      <c r="P14" s="77">
        <f>'表2-利润与利润分配表'!P29</f>
        <v>240.628975329174</v>
      </c>
      <c r="Q14" s="77">
        <f>'表2-利润与利润分配表'!Q29</f>
        <v>239.804063797475</v>
      </c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6"/>
      <c r="CK14" s="96"/>
      <c r="CL14" s="96"/>
      <c r="CM14" s="96"/>
      <c r="CN14" s="96"/>
      <c r="CO14" s="96"/>
      <c r="CP14" s="96"/>
      <c r="CQ14" s="96"/>
      <c r="CR14" s="96"/>
      <c r="CS14" s="96"/>
      <c r="CT14" s="96"/>
      <c r="CU14" s="96"/>
      <c r="CV14" s="96"/>
      <c r="CW14" s="96"/>
      <c r="CX14" s="96"/>
      <c r="CY14" s="96"/>
      <c r="CZ14" s="96"/>
      <c r="DA14" s="96"/>
      <c r="DB14" s="96"/>
      <c r="DC14" s="96"/>
      <c r="DD14" s="96"/>
      <c r="DE14" s="96"/>
      <c r="DF14" s="96"/>
      <c r="DG14" s="96"/>
      <c r="DH14" s="96"/>
      <c r="DI14" s="96"/>
      <c r="DJ14" s="96"/>
      <c r="DK14" s="96"/>
      <c r="DL14" s="96"/>
      <c r="DM14" s="96"/>
      <c r="DN14" s="96"/>
      <c r="DO14" s="96"/>
      <c r="DP14" s="96"/>
      <c r="DQ14" s="96"/>
      <c r="DR14" s="96"/>
      <c r="DS14" s="96"/>
      <c r="DT14" s="96"/>
      <c r="DU14" s="96"/>
      <c r="DV14" s="96"/>
      <c r="DW14" s="96"/>
      <c r="DX14" s="96"/>
      <c r="DY14" s="96"/>
      <c r="DZ14" s="96"/>
      <c r="EA14" s="96"/>
      <c r="EB14" s="96"/>
      <c r="EC14" s="96"/>
      <c r="ED14" s="96"/>
      <c r="EE14" s="96"/>
      <c r="EF14" s="96"/>
      <c r="EG14" s="96"/>
      <c r="EH14" s="96"/>
      <c r="EI14" s="96"/>
      <c r="EJ14" s="96"/>
      <c r="EK14" s="96"/>
      <c r="EL14" s="96"/>
      <c r="EM14" s="96"/>
      <c r="EN14" s="96"/>
      <c r="EO14" s="96"/>
      <c r="EP14" s="96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6"/>
      <c r="FB14" s="96"/>
      <c r="FC14" s="96"/>
      <c r="FD14" s="96"/>
      <c r="FE14" s="96"/>
      <c r="FF14" s="96"/>
      <c r="FG14" s="96"/>
      <c r="FH14" s="96"/>
      <c r="FI14" s="96"/>
      <c r="FJ14" s="96"/>
      <c r="FK14" s="96"/>
      <c r="FL14" s="96"/>
      <c r="FM14" s="96"/>
      <c r="FN14" s="96"/>
      <c r="FO14" s="96"/>
      <c r="FP14" s="96"/>
      <c r="FQ14" s="96"/>
      <c r="FR14" s="96"/>
      <c r="FS14" s="96"/>
      <c r="FT14" s="96"/>
      <c r="FU14" s="96"/>
      <c r="FV14" s="96"/>
      <c r="FW14" s="96"/>
      <c r="FX14" s="96"/>
      <c r="FY14" s="96"/>
      <c r="FZ14" s="96"/>
      <c r="GA14" s="96"/>
      <c r="GB14" s="96"/>
      <c r="GC14" s="96"/>
      <c r="GD14" s="96"/>
      <c r="GE14" s="96"/>
      <c r="GF14" s="96"/>
      <c r="GG14" s="96"/>
      <c r="GH14" s="96"/>
      <c r="GI14" s="96"/>
      <c r="GJ14" s="96"/>
      <c r="GK14" s="96"/>
      <c r="GL14" s="96"/>
      <c r="GM14" s="96"/>
      <c r="GN14" s="96"/>
      <c r="GO14" s="96"/>
      <c r="GP14" s="96"/>
      <c r="GQ14" s="96"/>
      <c r="GR14" s="96"/>
      <c r="GS14" s="96"/>
      <c r="GT14" s="96"/>
      <c r="GU14" s="96"/>
      <c r="GV14" s="96"/>
      <c r="GW14" s="96"/>
      <c r="GX14" s="96"/>
      <c r="GY14" s="96"/>
      <c r="GZ14" s="96"/>
      <c r="HA14" s="96"/>
      <c r="HB14" s="96"/>
      <c r="HC14" s="96"/>
      <c r="HD14" s="96"/>
      <c r="HE14" s="96"/>
      <c r="HF14" s="44"/>
      <c r="HG14" s="44"/>
      <c r="HH14" s="44"/>
      <c r="HI14" s="44"/>
      <c r="HJ14" s="44"/>
    </row>
    <row r="15" s="91" customFormat="1" ht="18" customHeight="1" spans="1:218">
      <c r="A15" s="96"/>
      <c r="B15" s="110">
        <v>2.5</v>
      </c>
      <c r="C15" s="111" t="s">
        <v>623</v>
      </c>
      <c r="D15" s="77">
        <f t="shared" si="3"/>
        <v>265.29200915587</v>
      </c>
      <c r="E15" s="77">
        <f>'表2-利润与利润分配表'!E30</f>
        <v>0</v>
      </c>
      <c r="F15" s="77">
        <f>'表2-利润与利润分配表'!F30</f>
        <v>0</v>
      </c>
      <c r="G15" s="77">
        <f>'表2-利润与利润分配表'!G30</f>
        <v>0</v>
      </c>
      <c r="H15" s="77">
        <f>'表2-利润与利润分配表'!H30</f>
        <v>1.61304637589096</v>
      </c>
      <c r="I15" s="77">
        <f>'表2-利润与利润分配表'!I30</f>
        <v>29.9034437174641</v>
      </c>
      <c r="J15" s="77">
        <f>'表2-利润与利润分配表'!J30</f>
        <v>29.7130795178413</v>
      </c>
      <c r="K15" s="77">
        <f>'表2-利润与利润分配表'!K30</f>
        <v>29.5760172941128</v>
      </c>
      <c r="L15" s="77">
        <f>'表2-利润与利润分配表'!L30</f>
        <v>29.4084967984447</v>
      </c>
      <c r="M15" s="77">
        <f>'表2-利润与利润分配表'!M30</f>
        <v>29.2866637106862</v>
      </c>
      <c r="N15" s="77">
        <f>'表2-利润与利润分配表'!N30</f>
        <v>29.1191432150181</v>
      </c>
      <c r="O15" s="77">
        <f>'表2-利润与利润分配表'!O30</f>
        <v>29.0201538312143</v>
      </c>
      <c r="P15" s="77">
        <f>'表2-利润与利润分配表'!P30</f>
        <v>28.8754770395009</v>
      </c>
      <c r="Q15" s="77">
        <f>'表2-利润与利润分配表'!Q30</f>
        <v>28.776487655697</v>
      </c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6"/>
      <c r="CK15" s="96"/>
      <c r="CL15" s="96"/>
      <c r="CM15" s="96"/>
      <c r="CN15" s="96"/>
      <c r="CO15" s="96"/>
      <c r="CP15" s="96"/>
      <c r="CQ15" s="96"/>
      <c r="CR15" s="96"/>
      <c r="CS15" s="96"/>
      <c r="CT15" s="96"/>
      <c r="CU15" s="96"/>
      <c r="CV15" s="96"/>
      <c r="CW15" s="96"/>
      <c r="CX15" s="96"/>
      <c r="CY15" s="96"/>
      <c r="CZ15" s="96"/>
      <c r="DA15" s="96"/>
      <c r="DB15" s="96"/>
      <c r="DC15" s="96"/>
      <c r="DD15" s="96"/>
      <c r="DE15" s="96"/>
      <c r="DF15" s="96"/>
      <c r="DG15" s="96"/>
      <c r="DH15" s="96"/>
      <c r="DI15" s="96"/>
      <c r="DJ15" s="96"/>
      <c r="DK15" s="96"/>
      <c r="DL15" s="96"/>
      <c r="DM15" s="96"/>
      <c r="DN15" s="96"/>
      <c r="DO15" s="96"/>
      <c r="DP15" s="96"/>
      <c r="DQ15" s="96"/>
      <c r="DR15" s="96"/>
      <c r="DS15" s="96"/>
      <c r="DT15" s="96"/>
      <c r="DU15" s="96"/>
      <c r="DV15" s="96"/>
      <c r="DW15" s="96"/>
      <c r="DX15" s="96"/>
      <c r="DY15" s="96"/>
      <c r="DZ15" s="96"/>
      <c r="EA15" s="96"/>
      <c r="EB15" s="96"/>
      <c r="EC15" s="96"/>
      <c r="ED15" s="96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6"/>
      <c r="FH15" s="96"/>
      <c r="FI15" s="96"/>
      <c r="FJ15" s="96"/>
      <c r="FK15" s="96"/>
      <c r="FL15" s="96"/>
      <c r="FM15" s="96"/>
      <c r="FN15" s="96"/>
      <c r="FO15" s="96"/>
      <c r="FP15" s="96"/>
      <c r="FQ15" s="96"/>
      <c r="FR15" s="96"/>
      <c r="FS15" s="96"/>
      <c r="FT15" s="96"/>
      <c r="FU15" s="96"/>
      <c r="FV15" s="96"/>
      <c r="FW15" s="96"/>
      <c r="FX15" s="96"/>
      <c r="FY15" s="96"/>
      <c r="FZ15" s="96"/>
      <c r="GA15" s="96"/>
      <c r="GB15" s="96"/>
      <c r="GC15" s="96"/>
      <c r="GD15" s="96"/>
      <c r="GE15" s="96"/>
      <c r="GF15" s="96"/>
      <c r="GG15" s="96"/>
      <c r="GH15" s="96"/>
      <c r="GI15" s="96"/>
      <c r="GJ15" s="96"/>
      <c r="GK15" s="96"/>
      <c r="GL15" s="96"/>
      <c r="GM15" s="96"/>
      <c r="GN15" s="96"/>
      <c r="GO15" s="96"/>
      <c r="GP15" s="96"/>
      <c r="GQ15" s="96"/>
      <c r="GR15" s="96"/>
      <c r="GS15" s="96"/>
      <c r="GT15" s="96"/>
      <c r="GU15" s="96"/>
      <c r="GV15" s="96"/>
      <c r="GW15" s="96"/>
      <c r="GX15" s="96"/>
      <c r="GY15" s="96"/>
      <c r="GZ15" s="96"/>
      <c r="HA15" s="96"/>
      <c r="HB15" s="96"/>
      <c r="HC15" s="96"/>
      <c r="HD15" s="96"/>
      <c r="HE15" s="96"/>
      <c r="HF15" s="96"/>
      <c r="HG15" s="96"/>
      <c r="HH15" s="96"/>
      <c r="HI15" s="96"/>
      <c r="HJ15" s="96"/>
    </row>
    <row r="16" s="2" customFormat="1" ht="18" customHeight="1" spans="1:218">
      <c r="A16" s="96"/>
      <c r="B16" s="110">
        <v>2.6</v>
      </c>
      <c r="C16" s="111" t="s">
        <v>649</v>
      </c>
      <c r="D16" s="77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6"/>
      <c r="CK16" s="96"/>
      <c r="CL16" s="96"/>
      <c r="CM16" s="96"/>
      <c r="CN16" s="96"/>
      <c r="CO16" s="96"/>
      <c r="CP16" s="96"/>
      <c r="CQ16" s="96"/>
      <c r="CR16" s="96"/>
      <c r="CS16" s="96"/>
      <c r="CT16" s="96"/>
      <c r="CU16" s="96"/>
      <c r="CV16" s="96"/>
      <c r="CW16" s="96"/>
      <c r="CX16" s="96"/>
      <c r="CY16" s="96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6"/>
      <c r="DS16" s="96"/>
      <c r="DT16" s="96"/>
      <c r="DU16" s="96"/>
      <c r="DV16" s="96"/>
      <c r="DW16" s="96"/>
      <c r="DX16" s="96"/>
      <c r="DY16" s="96"/>
      <c r="DZ16" s="96"/>
      <c r="EA16" s="96"/>
      <c r="EB16" s="96"/>
      <c r="EC16" s="96"/>
      <c r="ED16" s="96"/>
      <c r="EE16" s="96"/>
      <c r="EF16" s="96"/>
      <c r="EG16" s="96"/>
      <c r="EH16" s="96"/>
      <c r="EI16" s="96"/>
      <c r="EJ16" s="96"/>
      <c r="EK16" s="96"/>
      <c r="EL16" s="96"/>
      <c r="EM16" s="96"/>
      <c r="EN16" s="96"/>
      <c r="EO16" s="96"/>
      <c r="EP16" s="96"/>
      <c r="EQ16" s="96"/>
      <c r="ER16" s="96"/>
      <c r="ES16" s="96"/>
      <c r="ET16" s="96"/>
      <c r="EU16" s="96"/>
      <c r="EV16" s="96"/>
      <c r="EW16" s="96"/>
      <c r="EX16" s="96"/>
      <c r="EY16" s="96"/>
      <c r="EZ16" s="96"/>
      <c r="FA16" s="96"/>
      <c r="FB16" s="96"/>
      <c r="FC16" s="96"/>
      <c r="FD16" s="96"/>
      <c r="FE16" s="96"/>
      <c r="FF16" s="96"/>
      <c r="FG16" s="96"/>
      <c r="FH16" s="96"/>
      <c r="FI16" s="96"/>
      <c r="FJ16" s="96"/>
      <c r="FK16" s="96"/>
      <c r="FL16" s="96"/>
      <c r="FM16" s="96"/>
      <c r="FN16" s="96"/>
      <c r="FO16" s="96"/>
      <c r="FP16" s="96"/>
      <c r="FQ16" s="96"/>
      <c r="FR16" s="96"/>
      <c r="FS16" s="96"/>
      <c r="FT16" s="96"/>
      <c r="FU16" s="96"/>
      <c r="FV16" s="96"/>
      <c r="FW16" s="96"/>
      <c r="FX16" s="96"/>
      <c r="FY16" s="96"/>
      <c r="FZ16" s="96"/>
      <c r="GA16" s="96"/>
      <c r="GB16" s="96"/>
      <c r="GC16" s="96"/>
      <c r="GD16" s="96"/>
      <c r="GE16" s="96"/>
      <c r="GF16" s="96"/>
      <c r="GG16" s="96"/>
      <c r="GH16" s="96"/>
      <c r="GI16" s="96"/>
      <c r="GJ16" s="96"/>
      <c r="GK16" s="96"/>
      <c r="GL16" s="96"/>
      <c r="GM16" s="96"/>
      <c r="GN16" s="96"/>
      <c r="GO16" s="96"/>
      <c r="GP16" s="96"/>
      <c r="GQ16" s="96"/>
      <c r="GR16" s="96"/>
      <c r="GS16" s="96"/>
      <c r="GT16" s="96"/>
      <c r="GU16" s="96"/>
      <c r="GV16" s="96"/>
      <c r="GW16" s="96"/>
      <c r="GX16" s="96"/>
      <c r="GY16" s="96"/>
      <c r="GZ16" s="96"/>
      <c r="HA16" s="96"/>
      <c r="HB16" s="96"/>
      <c r="HC16" s="96"/>
      <c r="HD16" s="96"/>
      <c r="HE16" s="96"/>
      <c r="HF16" s="44"/>
      <c r="HG16" s="44"/>
      <c r="HH16" s="44"/>
      <c r="HI16" s="44"/>
      <c r="HJ16" s="44"/>
    </row>
    <row r="17" s="2" customFormat="1" ht="18" customHeight="1" spans="1:218">
      <c r="A17" s="96"/>
      <c r="B17" s="110">
        <v>3</v>
      </c>
      <c r="C17" s="111" t="s">
        <v>650</v>
      </c>
      <c r="D17" s="77">
        <f t="shared" si="3"/>
        <v>6384.82883094086</v>
      </c>
      <c r="E17" s="77">
        <f>E6-E10</f>
        <v>-15846.2586</v>
      </c>
      <c r="F17" s="77">
        <f t="shared" ref="E17:Y17" si="4">F6-F10</f>
        <v>3943.36241116547</v>
      </c>
      <c r="G17" s="77">
        <f t="shared" si="4"/>
        <v>1914.88231800248</v>
      </c>
      <c r="H17" s="77">
        <f t="shared" si="4"/>
        <v>1878.71066226763</v>
      </c>
      <c r="I17" s="77">
        <f t="shared" si="4"/>
        <v>1597.83076375915</v>
      </c>
      <c r="J17" s="77">
        <f t="shared" si="4"/>
        <v>1575.14330202626</v>
      </c>
      <c r="K17" s="77">
        <f t="shared" si="4"/>
        <v>1561.5165594821</v>
      </c>
      <c r="L17" s="77">
        <f t="shared" si="4"/>
        <v>1545.82369643583</v>
      </c>
      <c r="M17" s="77">
        <f t="shared" si="4"/>
        <v>1532.8654809179</v>
      </c>
      <c r="N17" s="77">
        <f t="shared" si="4"/>
        <v>1508.11570175504</v>
      </c>
      <c r="O17" s="77">
        <f t="shared" si="4"/>
        <v>1496.2891318592</v>
      </c>
      <c r="P17" s="77">
        <f t="shared" si="4"/>
        <v>1481.41780356267</v>
      </c>
      <c r="Q17" s="77">
        <f t="shared" si="4"/>
        <v>2195.12959970712</v>
      </c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96"/>
      <c r="DZ17" s="96"/>
      <c r="EA17" s="96"/>
      <c r="EB17" s="96"/>
      <c r="EC17" s="96"/>
      <c r="ED17" s="96"/>
      <c r="EE17" s="96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96"/>
      <c r="GG17" s="96"/>
      <c r="GH17" s="96"/>
      <c r="GI17" s="96"/>
      <c r="GJ17" s="96"/>
      <c r="GK17" s="96"/>
      <c r="GL17" s="96"/>
      <c r="GM17" s="96"/>
      <c r="GN17" s="96"/>
      <c r="GO17" s="96"/>
      <c r="GP17" s="96"/>
      <c r="GQ17" s="96"/>
      <c r="GR17" s="96"/>
      <c r="GS17" s="96"/>
      <c r="GT17" s="96"/>
      <c r="GU17" s="96"/>
      <c r="GV17" s="96"/>
      <c r="GW17" s="96"/>
      <c r="GX17" s="96"/>
      <c r="GY17" s="96"/>
      <c r="GZ17" s="96"/>
      <c r="HA17" s="96"/>
      <c r="HB17" s="96"/>
      <c r="HC17" s="96"/>
      <c r="HD17" s="96"/>
      <c r="HE17" s="96"/>
      <c r="HF17" s="44"/>
      <c r="HG17" s="44"/>
      <c r="HH17" s="44"/>
      <c r="HI17" s="44"/>
      <c r="HJ17" s="44"/>
    </row>
    <row r="18" s="2" customFormat="1" ht="18" customHeight="1" spans="1:218">
      <c r="A18" s="96"/>
      <c r="B18" s="110">
        <v>4</v>
      </c>
      <c r="C18" s="111" t="s">
        <v>651</v>
      </c>
      <c r="D18" s="77">
        <f>Q18</f>
        <v>6384.82883094086</v>
      </c>
      <c r="E18" s="77">
        <f>E17</f>
        <v>-15846.2586</v>
      </c>
      <c r="F18" s="77">
        <f t="shared" ref="F18:Q18" si="5">E18+F17</f>
        <v>-11902.8961888345</v>
      </c>
      <c r="G18" s="77">
        <f t="shared" si="5"/>
        <v>-9988.01387083205</v>
      </c>
      <c r="H18" s="77">
        <f t="shared" si="5"/>
        <v>-8109.30320856442</v>
      </c>
      <c r="I18" s="77">
        <f t="shared" si="5"/>
        <v>-6511.47244480527</v>
      </c>
      <c r="J18" s="77">
        <f t="shared" si="5"/>
        <v>-4936.32914277901</v>
      </c>
      <c r="K18" s="77">
        <f t="shared" si="5"/>
        <v>-3374.81258329691</v>
      </c>
      <c r="L18" s="77">
        <f t="shared" si="5"/>
        <v>-1828.98888686108</v>
      </c>
      <c r="M18" s="77">
        <f t="shared" si="5"/>
        <v>-296.123405943181</v>
      </c>
      <c r="N18" s="77">
        <f t="shared" si="5"/>
        <v>1211.99229581186</v>
      </c>
      <c r="O18" s="77">
        <f t="shared" si="5"/>
        <v>2708.28142767107</v>
      </c>
      <c r="P18" s="77">
        <f t="shared" si="5"/>
        <v>4189.69923123374</v>
      </c>
      <c r="Q18" s="77">
        <f t="shared" si="5"/>
        <v>6384.82883094086</v>
      </c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96"/>
      <c r="CL18" s="96"/>
      <c r="CM18" s="96"/>
      <c r="CN18" s="96"/>
      <c r="CO18" s="96"/>
      <c r="CP18" s="96"/>
      <c r="CQ18" s="96"/>
      <c r="CR18" s="96"/>
      <c r="CS18" s="96"/>
      <c r="CT18" s="96"/>
      <c r="CU18" s="96"/>
      <c r="CV18" s="96"/>
      <c r="CW18" s="96"/>
      <c r="CX18" s="96"/>
      <c r="CY18" s="96"/>
      <c r="CZ18" s="96"/>
      <c r="DA18" s="96"/>
      <c r="DB18" s="96"/>
      <c r="DC18" s="96"/>
      <c r="DD18" s="96"/>
      <c r="DE18" s="96"/>
      <c r="DF18" s="96"/>
      <c r="DG18" s="96"/>
      <c r="DH18" s="96"/>
      <c r="DI18" s="96"/>
      <c r="DJ18" s="96"/>
      <c r="DK18" s="96"/>
      <c r="DL18" s="96"/>
      <c r="DM18" s="96"/>
      <c r="DN18" s="96"/>
      <c r="DO18" s="96"/>
      <c r="DP18" s="96"/>
      <c r="DQ18" s="96"/>
      <c r="DR18" s="96"/>
      <c r="DS18" s="96"/>
      <c r="DT18" s="96"/>
      <c r="DU18" s="96"/>
      <c r="DV18" s="96"/>
      <c r="DW18" s="96"/>
      <c r="DX18" s="96"/>
      <c r="DY18" s="96"/>
      <c r="DZ18" s="96"/>
      <c r="EA18" s="96"/>
      <c r="EB18" s="96"/>
      <c r="EC18" s="96"/>
      <c r="ED18" s="96"/>
      <c r="EE18" s="96"/>
      <c r="EF18" s="96"/>
      <c r="EG18" s="96"/>
      <c r="EH18" s="96"/>
      <c r="EI18" s="96"/>
      <c r="EJ18" s="96"/>
      <c r="EK18" s="96"/>
      <c r="EL18" s="96"/>
      <c r="EM18" s="96"/>
      <c r="EN18" s="96"/>
      <c r="EO18" s="96"/>
      <c r="EP18" s="96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6"/>
      <c r="FB18" s="96"/>
      <c r="FC18" s="96"/>
      <c r="FD18" s="96"/>
      <c r="FE18" s="96"/>
      <c r="FF18" s="96"/>
      <c r="FG18" s="96"/>
      <c r="FH18" s="96"/>
      <c r="FI18" s="96"/>
      <c r="FJ18" s="96"/>
      <c r="FK18" s="96"/>
      <c r="FL18" s="96"/>
      <c r="FM18" s="96"/>
      <c r="FN18" s="96"/>
      <c r="FO18" s="96"/>
      <c r="FP18" s="96"/>
      <c r="FQ18" s="96"/>
      <c r="FR18" s="96"/>
      <c r="FS18" s="96"/>
      <c r="FT18" s="96"/>
      <c r="FU18" s="96"/>
      <c r="FV18" s="96"/>
      <c r="FW18" s="96"/>
      <c r="FX18" s="96"/>
      <c r="FY18" s="96"/>
      <c r="FZ18" s="96"/>
      <c r="GA18" s="96"/>
      <c r="GB18" s="96"/>
      <c r="GC18" s="96"/>
      <c r="GD18" s="96"/>
      <c r="GE18" s="96"/>
      <c r="GF18" s="96"/>
      <c r="GG18" s="96"/>
      <c r="GH18" s="96"/>
      <c r="GI18" s="96"/>
      <c r="GJ18" s="96"/>
      <c r="GK18" s="96"/>
      <c r="GL18" s="96"/>
      <c r="GM18" s="96"/>
      <c r="GN18" s="96"/>
      <c r="GO18" s="96"/>
      <c r="GP18" s="96"/>
      <c r="GQ18" s="96"/>
      <c r="GR18" s="96"/>
      <c r="GS18" s="96"/>
      <c r="GT18" s="96"/>
      <c r="GU18" s="96"/>
      <c r="GV18" s="96"/>
      <c r="GW18" s="96"/>
      <c r="GX18" s="96"/>
      <c r="GY18" s="96"/>
      <c r="GZ18" s="96"/>
      <c r="HA18" s="96"/>
      <c r="HB18" s="96"/>
      <c r="HC18" s="96"/>
      <c r="HD18" s="96"/>
      <c r="HE18" s="96"/>
      <c r="HF18" s="44"/>
      <c r="HG18" s="44"/>
      <c r="HH18" s="44"/>
      <c r="HI18" s="44"/>
      <c r="HJ18" s="44"/>
    </row>
    <row r="19" s="2" customFormat="1" ht="18" customHeight="1" spans="1:218">
      <c r="A19" s="96"/>
      <c r="B19" s="110">
        <v>5</v>
      </c>
      <c r="C19" s="111" t="s">
        <v>652</v>
      </c>
      <c r="D19" s="77">
        <f>SUM(E19:Q19)</f>
        <v>1242.8208169662</v>
      </c>
      <c r="E19" s="77">
        <f>'表2-利润与利润分配表'!E43</f>
        <v>0</v>
      </c>
      <c r="F19" s="77">
        <f>'表2-利润与利润分配表'!F43</f>
        <v>537.547372379792</v>
      </c>
      <c r="G19" s="77">
        <f>'表2-利润与利润分配表'!G43</f>
        <v>89.2175630636551</v>
      </c>
      <c r="H19" s="77">
        <f>'表2-利润与利润分配表'!H43</f>
        <v>84.6879715774192</v>
      </c>
      <c r="I19" s="77">
        <f>'表2-利润与利润分配表'!I43</f>
        <v>74.2517181324484</v>
      </c>
      <c r="J19" s="77">
        <f>'表2-利润与利润分配表'!J43</f>
        <v>69.1439349203199</v>
      </c>
      <c r="K19" s="77">
        <f>'表2-利润与利润分配表'!K43</f>
        <v>66.1433884834662</v>
      </c>
      <c r="L19" s="77">
        <f>'表2-利润与利润分配表'!L43</f>
        <v>62.716565076461</v>
      </c>
      <c r="M19" s="77">
        <f>'表2-利润与利润分配表'!M43</f>
        <v>59.8380238184797</v>
      </c>
      <c r="N19" s="77">
        <f>'表2-利润与利润分配表'!N43</f>
        <v>54.1469713823279</v>
      </c>
      <c r="O19" s="77">
        <f>'表2-利润与利润分配表'!O43</f>
        <v>51.4836516633365</v>
      </c>
      <c r="P19" s="77">
        <f>'表2-利润与利润分配表'!P43</f>
        <v>48.1945220772356</v>
      </c>
      <c r="Q19" s="77">
        <f>'表2-利润与利润分配表'!Q43</f>
        <v>45.4491343912573</v>
      </c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96"/>
      <c r="DZ19" s="96"/>
      <c r="EA19" s="96"/>
      <c r="EB19" s="96"/>
      <c r="EC19" s="96"/>
      <c r="ED19" s="96"/>
      <c r="EE19" s="96"/>
      <c r="EF19" s="96"/>
      <c r="EG19" s="96"/>
      <c r="EH19" s="96"/>
      <c r="EI19" s="96"/>
      <c r="EJ19" s="96"/>
      <c r="EK19" s="96"/>
      <c r="EL19" s="96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6"/>
      <c r="FK19" s="96"/>
      <c r="FL19" s="96"/>
      <c r="FM19" s="96"/>
      <c r="FN19" s="96"/>
      <c r="FO19" s="96"/>
      <c r="FP19" s="96"/>
      <c r="FQ19" s="96"/>
      <c r="FR19" s="96"/>
      <c r="FS19" s="96"/>
      <c r="FT19" s="96"/>
      <c r="FU19" s="96"/>
      <c r="FV19" s="96"/>
      <c r="FW19" s="96"/>
      <c r="FX19" s="96"/>
      <c r="FY19" s="96"/>
      <c r="FZ19" s="96"/>
      <c r="GA19" s="96"/>
      <c r="GB19" s="96"/>
      <c r="GC19" s="96"/>
      <c r="GD19" s="96"/>
      <c r="GE19" s="96"/>
      <c r="GF19" s="96"/>
      <c r="GG19" s="96"/>
      <c r="GH19" s="96"/>
      <c r="GI19" s="96"/>
      <c r="GJ19" s="96"/>
      <c r="GK19" s="96"/>
      <c r="GL19" s="96"/>
      <c r="GM19" s="96"/>
      <c r="GN19" s="96"/>
      <c r="GO19" s="96"/>
      <c r="GP19" s="96"/>
      <c r="GQ19" s="96"/>
      <c r="GR19" s="96"/>
      <c r="GS19" s="96"/>
      <c r="GT19" s="96"/>
      <c r="GU19" s="96"/>
      <c r="GV19" s="96"/>
      <c r="GW19" s="96"/>
      <c r="GX19" s="96"/>
      <c r="GY19" s="96"/>
      <c r="GZ19" s="96"/>
      <c r="HA19" s="96"/>
      <c r="HB19" s="96"/>
      <c r="HC19" s="96"/>
      <c r="HD19" s="96"/>
      <c r="HE19" s="96"/>
      <c r="HF19" s="44"/>
      <c r="HG19" s="44"/>
      <c r="HH19" s="44"/>
      <c r="HI19" s="44"/>
      <c r="HJ19" s="44"/>
    </row>
    <row r="20" s="2" customFormat="1" ht="18" customHeight="1" spans="1:218">
      <c r="A20" s="96"/>
      <c r="B20" s="110">
        <v>6</v>
      </c>
      <c r="C20" s="111" t="s">
        <v>653</v>
      </c>
      <c r="D20" s="77">
        <f>SUM(E20:Q20)</f>
        <v>5142.00801397466</v>
      </c>
      <c r="E20" s="77">
        <f>E17-E19</f>
        <v>-15846.2586</v>
      </c>
      <c r="F20" s="77">
        <f>F17-F19</f>
        <v>3405.81503878568</v>
      </c>
      <c r="G20" s="77">
        <f>G17-G19</f>
        <v>1825.66475493882</v>
      </c>
      <c r="H20" s="77">
        <f t="shared" ref="H20:Y20" si="6">H17-H19</f>
        <v>1794.02269069021</v>
      </c>
      <c r="I20" s="77">
        <f t="shared" si="6"/>
        <v>1523.5790456267</v>
      </c>
      <c r="J20" s="77">
        <f t="shared" si="6"/>
        <v>1505.99936710594</v>
      </c>
      <c r="K20" s="77">
        <f t="shared" si="6"/>
        <v>1495.37317099863</v>
      </c>
      <c r="L20" s="77">
        <f t="shared" si="6"/>
        <v>1483.10713135937</v>
      </c>
      <c r="M20" s="77">
        <f t="shared" si="6"/>
        <v>1473.02745709942</v>
      </c>
      <c r="N20" s="77">
        <f t="shared" si="6"/>
        <v>1453.96873037272</v>
      </c>
      <c r="O20" s="77">
        <f t="shared" si="6"/>
        <v>1444.80548019587</v>
      </c>
      <c r="P20" s="77">
        <f t="shared" si="6"/>
        <v>1433.22328148544</v>
      </c>
      <c r="Q20" s="77">
        <f t="shared" si="6"/>
        <v>2149.68046531586</v>
      </c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96"/>
      <c r="CL20" s="96"/>
      <c r="CM20" s="96"/>
      <c r="CN20" s="96"/>
      <c r="CO20" s="96"/>
      <c r="CP20" s="96"/>
      <c r="CQ20" s="96"/>
      <c r="CR20" s="96"/>
      <c r="CS20" s="96"/>
      <c r="CT20" s="96"/>
      <c r="CU20" s="96"/>
      <c r="CV20" s="96"/>
      <c r="CW20" s="96"/>
      <c r="CX20" s="96"/>
      <c r="CY20" s="96"/>
      <c r="CZ20" s="96"/>
      <c r="DA20" s="96"/>
      <c r="DB20" s="96"/>
      <c r="DC20" s="96"/>
      <c r="DD20" s="96"/>
      <c r="DE20" s="96"/>
      <c r="DF20" s="96"/>
      <c r="DG20" s="96"/>
      <c r="DH20" s="96"/>
      <c r="DI20" s="96"/>
      <c r="DJ20" s="96"/>
      <c r="DK20" s="96"/>
      <c r="DL20" s="96"/>
      <c r="DM20" s="96"/>
      <c r="DN20" s="96"/>
      <c r="DO20" s="96"/>
      <c r="DP20" s="96"/>
      <c r="DQ20" s="96"/>
      <c r="DR20" s="96"/>
      <c r="DS20" s="96"/>
      <c r="DT20" s="96"/>
      <c r="DU20" s="96"/>
      <c r="DV20" s="96"/>
      <c r="DW20" s="96"/>
      <c r="DX20" s="96"/>
      <c r="DY20" s="96"/>
      <c r="DZ20" s="96"/>
      <c r="EA20" s="96"/>
      <c r="EB20" s="96"/>
      <c r="EC20" s="96"/>
      <c r="ED20" s="96"/>
      <c r="EE20" s="96"/>
      <c r="EF20" s="96"/>
      <c r="EG20" s="96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6"/>
      <c r="FB20" s="96"/>
      <c r="FC20" s="96"/>
      <c r="FD20" s="96"/>
      <c r="FE20" s="96"/>
      <c r="FF20" s="96"/>
      <c r="FG20" s="96"/>
      <c r="FH20" s="96"/>
      <c r="FI20" s="96"/>
      <c r="FJ20" s="96"/>
      <c r="FK20" s="96"/>
      <c r="FL20" s="96"/>
      <c r="FM20" s="96"/>
      <c r="FN20" s="96"/>
      <c r="FO20" s="96"/>
      <c r="FP20" s="96"/>
      <c r="FQ20" s="96"/>
      <c r="FR20" s="96"/>
      <c r="FS20" s="96"/>
      <c r="FT20" s="96"/>
      <c r="FU20" s="96"/>
      <c r="FV20" s="96"/>
      <c r="FW20" s="96"/>
      <c r="FX20" s="96"/>
      <c r="FY20" s="96"/>
      <c r="FZ20" s="96"/>
      <c r="GA20" s="96"/>
      <c r="GB20" s="96"/>
      <c r="GC20" s="96"/>
      <c r="GD20" s="96"/>
      <c r="GE20" s="96"/>
      <c r="GF20" s="96"/>
      <c r="GG20" s="96"/>
      <c r="GH20" s="96"/>
      <c r="GI20" s="96"/>
      <c r="GJ20" s="96"/>
      <c r="GK20" s="96"/>
      <c r="GL20" s="96"/>
      <c r="GM20" s="96"/>
      <c r="GN20" s="96"/>
      <c r="GO20" s="96"/>
      <c r="GP20" s="96"/>
      <c r="GQ20" s="96"/>
      <c r="GR20" s="96"/>
      <c r="GS20" s="96"/>
      <c r="GT20" s="96"/>
      <c r="GU20" s="96"/>
      <c r="GV20" s="96"/>
      <c r="GW20" s="96"/>
      <c r="GX20" s="96"/>
      <c r="GY20" s="96"/>
      <c r="GZ20" s="96"/>
      <c r="HA20" s="96"/>
      <c r="HB20" s="96"/>
      <c r="HC20" s="96"/>
      <c r="HD20" s="96"/>
      <c r="HE20" s="96"/>
      <c r="HF20" s="44"/>
      <c r="HG20" s="44"/>
      <c r="HH20" s="44"/>
      <c r="HI20" s="44"/>
      <c r="HJ20" s="44"/>
    </row>
    <row r="21" s="2" customFormat="1" ht="18" customHeight="1" spans="1:218">
      <c r="A21" s="96"/>
      <c r="B21" s="113">
        <v>7</v>
      </c>
      <c r="C21" s="114" t="s">
        <v>654</v>
      </c>
      <c r="D21" s="115">
        <f>Q21</f>
        <v>5142.00801397466</v>
      </c>
      <c r="E21" s="115">
        <f>E20</f>
        <v>-15846.2586</v>
      </c>
      <c r="F21" s="115">
        <f t="shared" ref="F21:Q21" si="7">E21+F20</f>
        <v>-12440.4435612143</v>
      </c>
      <c r="G21" s="115">
        <f t="shared" si="7"/>
        <v>-10614.7788062755</v>
      </c>
      <c r="H21" s="115">
        <f t="shared" si="7"/>
        <v>-8820.75611558529</v>
      </c>
      <c r="I21" s="115">
        <f t="shared" si="7"/>
        <v>-7297.17706995859</v>
      </c>
      <c r="J21" s="115">
        <f t="shared" si="7"/>
        <v>-5791.17770285264</v>
      </c>
      <c r="K21" s="115">
        <f t="shared" si="7"/>
        <v>-4295.80453185401</v>
      </c>
      <c r="L21" s="115">
        <f t="shared" si="7"/>
        <v>-2812.69740049464</v>
      </c>
      <c r="M21" s="115">
        <f t="shared" si="7"/>
        <v>-1339.66994339522</v>
      </c>
      <c r="N21" s="115">
        <f t="shared" si="7"/>
        <v>114.298786977494</v>
      </c>
      <c r="O21" s="115">
        <f t="shared" si="7"/>
        <v>1559.10426717336</v>
      </c>
      <c r="P21" s="115">
        <f t="shared" si="7"/>
        <v>2992.3275486588</v>
      </c>
      <c r="Q21" s="115">
        <f t="shared" si="7"/>
        <v>5142.00801397466</v>
      </c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96"/>
      <c r="CL21" s="96"/>
      <c r="CM21" s="96"/>
      <c r="CN21" s="96"/>
      <c r="CO21" s="96"/>
      <c r="CP21" s="96"/>
      <c r="CQ21" s="96"/>
      <c r="CR21" s="96"/>
      <c r="CS21" s="96"/>
      <c r="CT21" s="96"/>
      <c r="CU21" s="96"/>
      <c r="CV21" s="96"/>
      <c r="CW21" s="96"/>
      <c r="CX21" s="96"/>
      <c r="CY21" s="96"/>
      <c r="CZ21" s="96"/>
      <c r="DA21" s="96"/>
      <c r="DB21" s="96"/>
      <c r="DC21" s="96"/>
      <c r="DD21" s="96"/>
      <c r="DE21" s="96"/>
      <c r="DF21" s="96"/>
      <c r="DG21" s="96"/>
      <c r="DH21" s="96"/>
      <c r="DI21" s="96"/>
      <c r="DJ21" s="96"/>
      <c r="DK21" s="96"/>
      <c r="DL21" s="96"/>
      <c r="DM21" s="96"/>
      <c r="DN21" s="96"/>
      <c r="DO21" s="96"/>
      <c r="DP21" s="96"/>
      <c r="DQ21" s="96"/>
      <c r="DR21" s="96"/>
      <c r="DS21" s="96"/>
      <c r="DT21" s="96"/>
      <c r="DU21" s="96"/>
      <c r="DV21" s="96"/>
      <c r="DW21" s="96"/>
      <c r="DX21" s="96"/>
      <c r="DY21" s="96"/>
      <c r="DZ21" s="96"/>
      <c r="EA21" s="96"/>
      <c r="EB21" s="96"/>
      <c r="EC21" s="96"/>
      <c r="ED21" s="96"/>
      <c r="EE21" s="96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6"/>
      <c r="FB21" s="96"/>
      <c r="FC21" s="96"/>
      <c r="FD21" s="96"/>
      <c r="FE21" s="96"/>
      <c r="FF21" s="96"/>
      <c r="FG21" s="96"/>
      <c r="FH21" s="96"/>
      <c r="FI21" s="96"/>
      <c r="FJ21" s="96"/>
      <c r="FK21" s="96"/>
      <c r="FL21" s="96"/>
      <c r="FM21" s="96"/>
      <c r="FN21" s="96"/>
      <c r="FO21" s="96"/>
      <c r="FP21" s="96"/>
      <c r="FQ21" s="96"/>
      <c r="FR21" s="96"/>
      <c r="FS21" s="96"/>
      <c r="FT21" s="96"/>
      <c r="FU21" s="96"/>
      <c r="FV21" s="96"/>
      <c r="FW21" s="96"/>
      <c r="FX21" s="96"/>
      <c r="FY21" s="96"/>
      <c r="FZ21" s="96"/>
      <c r="GA21" s="96"/>
      <c r="GB21" s="96"/>
      <c r="GC21" s="96"/>
      <c r="GD21" s="96"/>
      <c r="GE21" s="96"/>
      <c r="GF21" s="96"/>
      <c r="GG21" s="96"/>
      <c r="GH21" s="96"/>
      <c r="GI21" s="96"/>
      <c r="GJ21" s="96"/>
      <c r="GK21" s="96"/>
      <c r="GL21" s="96"/>
      <c r="GM21" s="96"/>
      <c r="GN21" s="96"/>
      <c r="GO21" s="96"/>
      <c r="GP21" s="96"/>
      <c r="GQ21" s="96"/>
      <c r="GR21" s="96"/>
      <c r="GS21" s="96"/>
      <c r="GT21" s="96"/>
      <c r="GU21" s="96"/>
      <c r="GV21" s="96"/>
      <c r="GW21" s="96"/>
      <c r="GX21" s="96"/>
      <c r="GY21" s="96"/>
      <c r="GZ21" s="96"/>
      <c r="HA21" s="96"/>
      <c r="HB21" s="96"/>
      <c r="HC21" s="96"/>
      <c r="HD21" s="96"/>
      <c r="HE21" s="96"/>
      <c r="HF21" s="44"/>
      <c r="HG21" s="44"/>
      <c r="HH21" s="44"/>
      <c r="HI21" s="44"/>
      <c r="HJ21" s="44"/>
    </row>
    <row r="22" s="2" customFormat="1" spans="1:218">
      <c r="A22" s="96"/>
      <c r="B22" s="97"/>
      <c r="C22" s="96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96"/>
      <c r="CL22" s="96"/>
      <c r="CM22" s="96"/>
      <c r="CN22" s="96"/>
      <c r="CO22" s="96"/>
      <c r="CP22" s="96"/>
      <c r="CQ22" s="96"/>
      <c r="CR22" s="96"/>
      <c r="CS22" s="96"/>
      <c r="CT22" s="96"/>
      <c r="CU22" s="96"/>
      <c r="CV22" s="96"/>
      <c r="CW22" s="96"/>
      <c r="CX22" s="96"/>
      <c r="CY22" s="96"/>
      <c r="CZ22" s="96"/>
      <c r="DA22" s="96"/>
      <c r="DB22" s="96"/>
      <c r="DC22" s="96"/>
      <c r="DD22" s="96"/>
      <c r="DE22" s="96"/>
      <c r="DF22" s="96"/>
      <c r="DG22" s="96"/>
      <c r="DH22" s="96"/>
      <c r="DI22" s="96"/>
      <c r="DJ22" s="96"/>
      <c r="DK22" s="96"/>
      <c r="DL22" s="96"/>
      <c r="DM22" s="96"/>
      <c r="DN22" s="96"/>
      <c r="DO22" s="96"/>
      <c r="DP22" s="96"/>
      <c r="DQ22" s="96"/>
      <c r="DR22" s="96"/>
      <c r="DS22" s="96"/>
      <c r="DT22" s="96"/>
      <c r="DU22" s="96"/>
      <c r="DV22" s="96"/>
      <c r="DW22" s="96"/>
      <c r="DX22" s="96"/>
      <c r="DY22" s="96"/>
      <c r="DZ22" s="96"/>
      <c r="EA22" s="96"/>
      <c r="EB22" s="96"/>
      <c r="EC22" s="96"/>
      <c r="ED22" s="96"/>
      <c r="EE22" s="96"/>
      <c r="EF22" s="96"/>
      <c r="EG22" s="96"/>
      <c r="EH22" s="96"/>
      <c r="EI22" s="96"/>
      <c r="EJ22" s="96"/>
      <c r="EK22" s="96"/>
      <c r="EL22" s="96"/>
      <c r="EM22" s="96"/>
      <c r="EN22" s="96"/>
      <c r="EO22" s="96"/>
      <c r="EP22" s="96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6"/>
      <c r="FB22" s="96"/>
      <c r="FC22" s="96"/>
      <c r="FD22" s="96"/>
      <c r="FE22" s="96"/>
      <c r="FF22" s="96"/>
      <c r="FG22" s="96"/>
      <c r="FH22" s="96"/>
      <c r="FI22" s="96"/>
      <c r="FJ22" s="96"/>
      <c r="FK22" s="96"/>
      <c r="FL22" s="96"/>
      <c r="FM22" s="96"/>
      <c r="FN22" s="96"/>
      <c r="FO22" s="96"/>
      <c r="FP22" s="96"/>
      <c r="FQ22" s="96"/>
      <c r="FR22" s="96"/>
      <c r="FS22" s="96"/>
      <c r="FT22" s="96"/>
      <c r="FU22" s="96"/>
      <c r="FV22" s="96"/>
      <c r="FW22" s="96"/>
      <c r="FX22" s="96"/>
      <c r="FY22" s="96"/>
      <c r="FZ22" s="96"/>
      <c r="GA22" s="96"/>
      <c r="GB22" s="96"/>
      <c r="GC22" s="96"/>
      <c r="GD22" s="96"/>
      <c r="GE22" s="96"/>
      <c r="GF22" s="96"/>
      <c r="GG22" s="96"/>
      <c r="GH22" s="96"/>
      <c r="GI22" s="96"/>
      <c r="GJ22" s="96"/>
      <c r="GK22" s="96"/>
      <c r="GL22" s="96"/>
      <c r="GM22" s="96"/>
      <c r="GN22" s="96"/>
      <c r="GO22" s="96"/>
      <c r="GP22" s="96"/>
      <c r="GQ22" s="96"/>
      <c r="GR22" s="96"/>
      <c r="GS22" s="96"/>
      <c r="GT22" s="96"/>
      <c r="GU22" s="96"/>
      <c r="GV22" s="96"/>
      <c r="GW22" s="96"/>
      <c r="GX22" s="96"/>
      <c r="GY22" s="96"/>
      <c r="GZ22" s="96"/>
      <c r="HA22" s="96"/>
      <c r="HB22" s="96"/>
      <c r="HC22" s="96"/>
      <c r="HD22" s="96"/>
      <c r="HE22" s="96"/>
      <c r="HF22" s="44"/>
      <c r="HG22" s="44"/>
      <c r="HH22" s="44"/>
      <c r="HI22" s="44"/>
      <c r="HJ22" s="44"/>
    </row>
    <row r="23" s="2" customFormat="1" ht="15.75" spans="1:218">
      <c r="A23" s="96"/>
      <c r="B23" s="97"/>
      <c r="C23" s="96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96"/>
      <c r="CL23" s="96"/>
      <c r="CM23" s="96"/>
      <c r="CN23" s="96"/>
      <c r="CO23" s="96"/>
      <c r="CP23" s="96"/>
      <c r="CQ23" s="96"/>
      <c r="CR23" s="96"/>
      <c r="CS23" s="96"/>
      <c r="CT23" s="96"/>
      <c r="CU23" s="96"/>
      <c r="CV23" s="96"/>
      <c r="CW23" s="96"/>
      <c r="CX23" s="96"/>
      <c r="CY23" s="96"/>
      <c r="CZ23" s="96"/>
      <c r="DA23" s="96"/>
      <c r="DB23" s="96"/>
      <c r="DC23" s="96"/>
      <c r="DD23" s="96"/>
      <c r="DE23" s="96"/>
      <c r="DF23" s="96"/>
      <c r="DG23" s="96"/>
      <c r="DH23" s="96"/>
      <c r="DI23" s="96"/>
      <c r="DJ23" s="96"/>
      <c r="DK23" s="96"/>
      <c r="DL23" s="96"/>
      <c r="DM23" s="96"/>
      <c r="DN23" s="96"/>
      <c r="DO23" s="96"/>
      <c r="DP23" s="96"/>
      <c r="DQ23" s="96"/>
      <c r="DR23" s="96"/>
      <c r="DS23" s="96"/>
      <c r="DT23" s="96"/>
      <c r="DU23" s="96"/>
      <c r="DV23" s="96"/>
      <c r="DW23" s="96"/>
      <c r="DX23" s="96"/>
      <c r="DY23" s="96"/>
      <c r="DZ23" s="96"/>
      <c r="EA23" s="96"/>
      <c r="EB23" s="96"/>
      <c r="EC23" s="96"/>
      <c r="ED23" s="96"/>
      <c r="EE23" s="96"/>
      <c r="EF23" s="96"/>
      <c r="EG23" s="96"/>
      <c r="EH23" s="96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6"/>
      <c r="FB23" s="96"/>
      <c r="FC23" s="96"/>
      <c r="FD23" s="96"/>
      <c r="FE23" s="96"/>
      <c r="FF23" s="96"/>
      <c r="FG23" s="96"/>
      <c r="FH23" s="96"/>
      <c r="FI23" s="96"/>
      <c r="FJ23" s="96"/>
      <c r="FK23" s="96"/>
      <c r="FL23" s="96"/>
      <c r="FM23" s="96"/>
      <c r="FN23" s="96"/>
      <c r="FO23" s="96"/>
      <c r="FP23" s="96"/>
      <c r="FQ23" s="96"/>
      <c r="FR23" s="96"/>
      <c r="FS23" s="96"/>
      <c r="FT23" s="96"/>
      <c r="FU23" s="96"/>
      <c r="FV23" s="96"/>
      <c r="FW23" s="96"/>
      <c r="FX23" s="96"/>
      <c r="FY23" s="96"/>
      <c r="FZ23" s="96"/>
      <c r="GA23" s="96"/>
      <c r="GB23" s="96"/>
      <c r="GC23" s="96"/>
      <c r="GD23" s="96"/>
      <c r="GE23" s="96"/>
      <c r="GF23" s="96"/>
      <c r="GG23" s="96"/>
      <c r="GH23" s="96"/>
      <c r="GI23" s="96"/>
      <c r="GJ23" s="96"/>
      <c r="GK23" s="96"/>
      <c r="GL23" s="96"/>
      <c r="GM23" s="96"/>
      <c r="GN23" s="96"/>
      <c r="GO23" s="96"/>
      <c r="GP23" s="96"/>
      <c r="GQ23" s="96"/>
      <c r="GR23" s="96"/>
      <c r="GS23" s="96"/>
      <c r="GT23" s="96"/>
      <c r="GU23" s="96"/>
      <c r="GV23" s="96"/>
      <c r="GW23" s="96"/>
      <c r="GX23" s="96"/>
      <c r="GY23" s="96"/>
      <c r="GZ23" s="96"/>
      <c r="HA23" s="96"/>
      <c r="HB23" s="96"/>
      <c r="HC23" s="96"/>
      <c r="HD23" s="96"/>
      <c r="HE23" s="96"/>
      <c r="HF23" s="44"/>
      <c r="HG23" s="44"/>
      <c r="HH23" s="44"/>
      <c r="HI23" s="44"/>
      <c r="HJ23" s="44"/>
    </row>
    <row r="24" s="2" customFormat="1" spans="1:218">
      <c r="A24" s="96"/>
      <c r="B24" s="97"/>
      <c r="C24" s="116" t="s">
        <v>655</v>
      </c>
      <c r="D24" s="117">
        <f>IRR(E17:Q17)</f>
        <v>0.0637674301877296</v>
      </c>
      <c r="E24" s="78"/>
      <c r="F24" s="78"/>
      <c r="G24" s="78"/>
      <c r="H24" s="78"/>
      <c r="I24" s="78"/>
      <c r="J24" s="78"/>
      <c r="K24" s="88">
        <f>IRR(E17:Q17)</f>
        <v>0.0637674301877296</v>
      </c>
      <c r="L24" s="78"/>
      <c r="M24" s="78"/>
      <c r="N24" s="78"/>
      <c r="O24" s="78"/>
      <c r="P24" s="78"/>
      <c r="Q24" s="78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96"/>
      <c r="CL24" s="96"/>
      <c r="CM24" s="96"/>
      <c r="CN24" s="96"/>
      <c r="CO24" s="96"/>
      <c r="CP24" s="96"/>
      <c r="CQ24" s="96"/>
      <c r="CR24" s="96"/>
      <c r="CS24" s="96"/>
      <c r="CT24" s="96"/>
      <c r="CU24" s="96"/>
      <c r="CV24" s="96"/>
      <c r="CW24" s="96"/>
      <c r="CX24" s="96"/>
      <c r="CY24" s="96"/>
      <c r="CZ24" s="96"/>
      <c r="DA24" s="96"/>
      <c r="DB24" s="96"/>
      <c r="DC24" s="96"/>
      <c r="DD24" s="96"/>
      <c r="DE24" s="96"/>
      <c r="DF24" s="96"/>
      <c r="DG24" s="96"/>
      <c r="DH24" s="96"/>
      <c r="DI24" s="96"/>
      <c r="DJ24" s="96"/>
      <c r="DK24" s="96"/>
      <c r="DL24" s="96"/>
      <c r="DM24" s="96"/>
      <c r="DN24" s="96"/>
      <c r="DO24" s="96"/>
      <c r="DP24" s="96"/>
      <c r="DQ24" s="96"/>
      <c r="DR24" s="96"/>
      <c r="DS24" s="96"/>
      <c r="DT24" s="96"/>
      <c r="DU24" s="96"/>
      <c r="DV24" s="96"/>
      <c r="DW24" s="96"/>
      <c r="DX24" s="96"/>
      <c r="DY24" s="96"/>
      <c r="DZ24" s="96"/>
      <c r="EA24" s="96"/>
      <c r="EB24" s="96"/>
      <c r="EC24" s="96"/>
      <c r="ED24" s="96"/>
      <c r="EE24" s="96"/>
      <c r="EF24" s="96"/>
      <c r="EG24" s="96"/>
      <c r="EH24" s="96"/>
      <c r="EI24" s="96"/>
      <c r="EJ24" s="96"/>
      <c r="EK24" s="96"/>
      <c r="EL24" s="96"/>
      <c r="EM24" s="96"/>
      <c r="EN24" s="96"/>
      <c r="EO24" s="96"/>
      <c r="EP24" s="96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6"/>
      <c r="FB24" s="96"/>
      <c r="FC24" s="96"/>
      <c r="FD24" s="96"/>
      <c r="FE24" s="96"/>
      <c r="FF24" s="96"/>
      <c r="FG24" s="96"/>
      <c r="FH24" s="96"/>
      <c r="FI24" s="96"/>
      <c r="FJ24" s="96"/>
      <c r="FK24" s="96"/>
      <c r="FL24" s="96"/>
      <c r="FM24" s="96"/>
      <c r="FN24" s="96"/>
      <c r="FO24" s="96"/>
      <c r="FP24" s="96"/>
      <c r="FQ24" s="96"/>
      <c r="FR24" s="96"/>
      <c r="FS24" s="96"/>
      <c r="FT24" s="96"/>
      <c r="FU24" s="96"/>
      <c r="FV24" s="96"/>
      <c r="FW24" s="96"/>
      <c r="FX24" s="96"/>
      <c r="FY24" s="96"/>
      <c r="FZ24" s="96"/>
      <c r="GA24" s="96"/>
      <c r="GB24" s="96"/>
      <c r="GC24" s="96"/>
      <c r="GD24" s="96"/>
      <c r="GE24" s="96"/>
      <c r="GF24" s="96"/>
      <c r="GG24" s="96"/>
      <c r="GH24" s="96"/>
      <c r="GI24" s="96"/>
      <c r="GJ24" s="96"/>
      <c r="GK24" s="96"/>
      <c r="GL24" s="96"/>
      <c r="GM24" s="96"/>
      <c r="GN24" s="96"/>
      <c r="GO24" s="96"/>
      <c r="GP24" s="96"/>
      <c r="GQ24" s="96"/>
      <c r="GR24" s="96"/>
      <c r="GS24" s="96"/>
      <c r="GT24" s="96"/>
      <c r="GU24" s="96"/>
      <c r="GV24" s="96"/>
      <c r="GW24" s="96"/>
      <c r="GX24" s="96"/>
      <c r="GY24" s="96"/>
      <c r="GZ24" s="96"/>
      <c r="HA24" s="96"/>
      <c r="HB24" s="96"/>
      <c r="HC24" s="96"/>
      <c r="HD24" s="96"/>
      <c r="HE24" s="96"/>
      <c r="HF24" s="44"/>
      <c r="HG24" s="44"/>
      <c r="HH24" s="44"/>
      <c r="HI24" s="44"/>
      <c r="HJ24" s="44"/>
    </row>
    <row r="25" s="2" customFormat="1" spans="1:218">
      <c r="A25" s="96"/>
      <c r="B25" s="97"/>
      <c r="C25" s="118" t="s">
        <v>656</v>
      </c>
      <c r="D25" s="119">
        <f>IRR(E20:Q20)</f>
        <v>0.0507754182709153</v>
      </c>
      <c r="E25" s="78"/>
      <c r="F25" s="78"/>
      <c r="G25" s="78"/>
      <c r="H25" s="78"/>
      <c r="I25" s="78"/>
      <c r="J25" s="78"/>
      <c r="K25" s="88">
        <f>IRR(E20:Q20)</f>
        <v>0.0507754182709153</v>
      </c>
      <c r="L25" s="78"/>
      <c r="M25" s="78"/>
      <c r="N25" s="78"/>
      <c r="O25" s="78"/>
      <c r="P25" s="78"/>
      <c r="Q25" s="78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44"/>
      <c r="HG25" s="44"/>
      <c r="HH25" s="44"/>
      <c r="HI25" s="44"/>
      <c r="HJ25" s="44"/>
    </row>
    <row r="26" s="2" customFormat="1" hidden="1" spans="1:218">
      <c r="A26" s="96"/>
      <c r="B26" s="97"/>
      <c r="C26" s="118"/>
      <c r="D26" s="120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6"/>
      <c r="CH26" s="96"/>
      <c r="CI26" s="96"/>
      <c r="CJ26" s="96"/>
      <c r="CK26" s="96"/>
      <c r="CL26" s="96"/>
      <c r="CM26" s="96"/>
      <c r="CN26" s="96"/>
      <c r="CO26" s="96"/>
      <c r="CP26" s="96"/>
      <c r="CQ26" s="96"/>
      <c r="CR26" s="96"/>
      <c r="CS26" s="96"/>
      <c r="CT26" s="96"/>
      <c r="CU26" s="96"/>
      <c r="CV26" s="96"/>
      <c r="CW26" s="96"/>
      <c r="CX26" s="96"/>
      <c r="CY26" s="96"/>
      <c r="CZ26" s="96"/>
      <c r="DA26" s="96"/>
      <c r="DB26" s="96"/>
      <c r="DC26" s="96"/>
      <c r="DD26" s="96"/>
      <c r="DE26" s="96"/>
      <c r="DF26" s="96"/>
      <c r="DG26" s="96"/>
      <c r="DH26" s="96"/>
      <c r="DI26" s="96"/>
      <c r="DJ26" s="96"/>
      <c r="DK26" s="96"/>
      <c r="DL26" s="96"/>
      <c r="DM26" s="96"/>
      <c r="DN26" s="96"/>
      <c r="DO26" s="96"/>
      <c r="DP26" s="96"/>
      <c r="DQ26" s="96"/>
      <c r="DR26" s="96"/>
      <c r="DS26" s="96"/>
      <c r="DT26" s="96"/>
      <c r="DU26" s="96"/>
      <c r="DV26" s="96"/>
      <c r="DW26" s="96"/>
      <c r="DX26" s="96"/>
      <c r="DY26" s="96"/>
      <c r="DZ26" s="96"/>
      <c r="EA26" s="96"/>
      <c r="EB26" s="96"/>
      <c r="EC26" s="96"/>
      <c r="ED26" s="96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6"/>
      <c r="FB26" s="96"/>
      <c r="FC26" s="96"/>
      <c r="FD26" s="96"/>
      <c r="FE26" s="96"/>
      <c r="FF26" s="96"/>
      <c r="FG26" s="96"/>
      <c r="FH26" s="96"/>
      <c r="FI26" s="96"/>
      <c r="FJ26" s="96"/>
      <c r="FK26" s="96"/>
      <c r="FL26" s="96"/>
      <c r="FM26" s="96"/>
      <c r="FN26" s="96"/>
      <c r="FO26" s="96"/>
      <c r="FP26" s="96"/>
      <c r="FQ26" s="96"/>
      <c r="FR26" s="96"/>
      <c r="FS26" s="96"/>
      <c r="FT26" s="96"/>
      <c r="FU26" s="96"/>
      <c r="FV26" s="96"/>
      <c r="FW26" s="96"/>
      <c r="FX26" s="96"/>
      <c r="FY26" s="96"/>
      <c r="FZ26" s="96"/>
      <c r="GA26" s="96"/>
      <c r="GB26" s="96"/>
      <c r="GC26" s="96"/>
      <c r="GD26" s="96"/>
      <c r="GE26" s="96"/>
      <c r="GF26" s="96"/>
      <c r="GG26" s="96"/>
      <c r="GH26" s="96"/>
      <c r="GI26" s="96"/>
      <c r="GJ26" s="96"/>
      <c r="GK26" s="96"/>
      <c r="GL26" s="96"/>
      <c r="GM26" s="96"/>
      <c r="GN26" s="96"/>
      <c r="GO26" s="96"/>
      <c r="GP26" s="96"/>
      <c r="GQ26" s="96"/>
      <c r="GR26" s="96"/>
      <c r="GS26" s="96"/>
      <c r="GT26" s="96"/>
      <c r="GU26" s="96"/>
      <c r="GV26" s="96"/>
      <c r="GW26" s="96"/>
      <c r="GX26" s="96"/>
      <c r="GY26" s="96"/>
      <c r="GZ26" s="96"/>
      <c r="HA26" s="96"/>
      <c r="HB26" s="96"/>
      <c r="HC26" s="96"/>
      <c r="HD26" s="96"/>
      <c r="HE26" s="96"/>
      <c r="HF26" s="44"/>
      <c r="HG26" s="44"/>
      <c r="HH26" s="44"/>
      <c r="HI26" s="44"/>
      <c r="HJ26" s="44"/>
    </row>
    <row r="27" s="2" customFormat="1" hidden="1" spans="1:218">
      <c r="A27" s="96"/>
      <c r="B27" s="97"/>
      <c r="C27" s="118" t="s">
        <v>657</v>
      </c>
      <c r="D27" s="120"/>
      <c r="E27" s="80">
        <v>1</v>
      </c>
      <c r="F27" s="80">
        <v>2</v>
      </c>
      <c r="G27" s="80">
        <v>3</v>
      </c>
      <c r="H27" s="80">
        <v>4</v>
      </c>
      <c r="I27" s="80">
        <v>5</v>
      </c>
      <c r="J27" s="80">
        <v>6</v>
      </c>
      <c r="K27" s="80">
        <v>7</v>
      </c>
      <c r="L27" s="80">
        <v>8</v>
      </c>
      <c r="M27" s="80">
        <v>9</v>
      </c>
      <c r="N27" s="80">
        <v>10</v>
      </c>
      <c r="O27" s="80">
        <v>11</v>
      </c>
      <c r="P27" s="80">
        <v>12</v>
      </c>
      <c r="Q27" s="80">
        <v>13</v>
      </c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6"/>
      <c r="CH27" s="96"/>
      <c r="CI27" s="96"/>
      <c r="CJ27" s="96"/>
      <c r="CK27" s="96"/>
      <c r="CL27" s="96"/>
      <c r="CM27" s="96"/>
      <c r="CN27" s="96"/>
      <c r="CO27" s="96"/>
      <c r="CP27" s="96"/>
      <c r="CQ27" s="96"/>
      <c r="CR27" s="96"/>
      <c r="CS27" s="96"/>
      <c r="CT27" s="96"/>
      <c r="CU27" s="96"/>
      <c r="CV27" s="96"/>
      <c r="CW27" s="96"/>
      <c r="CX27" s="96"/>
      <c r="CY27" s="96"/>
      <c r="CZ27" s="96"/>
      <c r="DA27" s="96"/>
      <c r="DB27" s="96"/>
      <c r="DC27" s="96"/>
      <c r="DD27" s="96"/>
      <c r="DE27" s="96"/>
      <c r="DF27" s="96"/>
      <c r="DG27" s="96"/>
      <c r="DH27" s="96"/>
      <c r="DI27" s="96"/>
      <c r="DJ27" s="96"/>
      <c r="DK27" s="96"/>
      <c r="DL27" s="96"/>
      <c r="DM27" s="96"/>
      <c r="DN27" s="96"/>
      <c r="DO27" s="96"/>
      <c r="DP27" s="96"/>
      <c r="DQ27" s="96"/>
      <c r="DR27" s="96"/>
      <c r="DS27" s="96"/>
      <c r="DT27" s="96"/>
      <c r="DU27" s="96"/>
      <c r="DV27" s="96"/>
      <c r="DW27" s="96"/>
      <c r="DX27" s="96"/>
      <c r="DY27" s="96"/>
      <c r="DZ27" s="96"/>
      <c r="EA27" s="96"/>
      <c r="EB27" s="96"/>
      <c r="EC27" s="96"/>
      <c r="ED27" s="96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6"/>
      <c r="FB27" s="96"/>
      <c r="FC27" s="96"/>
      <c r="FD27" s="96"/>
      <c r="FE27" s="96"/>
      <c r="FF27" s="96"/>
      <c r="FG27" s="96"/>
      <c r="FH27" s="96"/>
      <c r="FI27" s="96"/>
      <c r="FJ27" s="96"/>
      <c r="FK27" s="96"/>
      <c r="FL27" s="96"/>
      <c r="FM27" s="96"/>
      <c r="FN27" s="96"/>
      <c r="FO27" s="96"/>
      <c r="FP27" s="96"/>
      <c r="FQ27" s="96"/>
      <c r="FR27" s="96"/>
      <c r="FS27" s="96"/>
      <c r="FT27" s="96"/>
      <c r="FU27" s="96"/>
      <c r="FV27" s="96"/>
      <c r="FW27" s="96"/>
      <c r="FX27" s="96"/>
      <c r="FY27" s="96"/>
      <c r="FZ27" s="96"/>
      <c r="GA27" s="96"/>
      <c r="GB27" s="96"/>
      <c r="GC27" s="96"/>
      <c r="GD27" s="96"/>
      <c r="GE27" s="96"/>
      <c r="GF27" s="96"/>
      <c r="GG27" s="96"/>
      <c r="GH27" s="96"/>
      <c r="GI27" s="96"/>
      <c r="GJ27" s="96"/>
      <c r="GK27" s="96"/>
      <c r="GL27" s="96"/>
      <c r="GM27" s="96"/>
      <c r="GN27" s="96"/>
      <c r="GO27" s="96"/>
      <c r="GP27" s="96"/>
      <c r="GQ27" s="96"/>
      <c r="GR27" s="96"/>
      <c r="GS27" s="96"/>
      <c r="GT27" s="96"/>
      <c r="GU27" s="96"/>
      <c r="GV27" s="96"/>
      <c r="GW27" s="96"/>
      <c r="GX27" s="96"/>
      <c r="GY27" s="96"/>
      <c r="GZ27" s="96"/>
      <c r="HA27" s="96"/>
      <c r="HB27" s="96"/>
      <c r="HC27" s="96"/>
      <c r="HD27" s="96"/>
      <c r="HE27" s="96"/>
      <c r="HF27" s="44"/>
      <c r="HG27" s="44"/>
      <c r="HH27" s="44"/>
      <c r="HI27" s="44"/>
      <c r="HJ27" s="44"/>
    </row>
    <row r="28" s="2" customFormat="1" hidden="1" spans="1:218">
      <c r="A28" s="96"/>
      <c r="B28" s="97"/>
      <c r="C28" s="118"/>
      <c r="D28" s="120"/>
      <c r="E28" s="80">
        <v>0</v>
      </c>
      <c r="F28" s="80">
        <f>IF(AND(F18&gt;0,E18&lt;0),ABS(E18)/F17,0)</f>
        <v>0</v>
      </c>
      <c r="G28" s="80">
        <f t="shared" ref="G28:T28" si="8">IF(AND(G18&gt;0,F18&lt;0),ABS(F18)/G17,0)</f>
        <v>0</v>
      </c>
      <c r="H28" s="80">
        <f t="shared" si="8"/>
        <v>0</v>
      </c>
      <c r="I28" s="80">
        <f t="shared" si="8"/>
        <v>0</v>
      </c>
      <c r="J28" s="80">
        <f t="shared" si="8"/>
        <v>0</v>
      </c>
      <c r="K28" s="80">
        <f t="shared" si="8"/>
        <v>0</v>
      </c>
      <c r="L28" s="80">
        <f t="shared" si="8"/>
        <v>0</v>
      </c>
      <c r="M28" s="80">
        <f t="shared" si="8"/>
        <v>0</v>
      </c>
      <c r="N28" s="80">
        <f t="shared" si="8"/>
        <v>0.196353241066698</v>
      </c>
      <c r="O28" s="80">
        <f t="shared" si="8"/>
        <v>0</v>
      </c>
      <c r="P28" s="80">
        <f t="shared" si="8"/>
        <v>0</v>
      </c>
      <c r="Q28" s="80">
        <f t="shared" si="8"/>
        <v>0</v>
      </c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6"/>
      <c r="CH28" s="96"/>
      <c r="CI28" s="96"/>
      <c r="CJ28" s="96"/>
      <c r="CK28" s="96"/>
      <c r="CL28" s="96"/>
      <c r="CM28" s="96"/>
      <c r="CN28" s="96"/>
      <c r="CO28" s="96"/>
      <c r="CP28" s="96"/>
      <c r="CQ28" s="96"/>
      <c r="CR28" s="96"/>
      <c r="CS28" s="96"/>
      <c r="CT28" s="96"/>
      <c r="CU28" s="96"/>
      <c r="CV28" s="96"/>
      <c r="CW28" s="96"/>
      <c r="CX28" s="96"/>
      <c r="CY28" s="96"/>
      <c r="CZ28" s="96"/>
      <c r="DA28" s="96"/>
      <c r="DB28" s="96"/>
      <c r="DC28" s="96"/>
      <c r="DD28" s="96"/>
      <c r="DE28" s="96"/>
      <c r="DF28" s="96"/>
      <c r="DG28" s="96"/>
      <c r="DH28" s="96"/>
      <c r="DI28" s="96"/>
      <c r="DJ28" s="96"/>
      <c r="DK28" s="96"/>
      <c r="DL28" s="96"/>
      <c r="DM28" s="96"/>
      <c r="DN28" s="96"/>
      <c r="DO28" s="96"/>
      <c r="DP28" s="96"/>
      <c r="DQ28" s="96"/>
      <c r="DR28" s="96"/>
      <c r="DS28" s="96"/>
      <c r="DT28" s="96"/>
      <c r="DU28" s="96"/>
      <c r="DV28" s="96"/>
      <c r="DW28" s="96"/>
      <c r="DX28" s="96"/>
      <c r="DY28" s="96"/>
      <c r="DZ28" s="96"/>
      <c r="EA28" s="96"/>
      <c r="EB28" s="96"/>
      <c r="EC28" s="96"/>
      <c r="ED28" s="96"/>
      <c r="EE28" s="96"/>
      <c r="EF28" s="96"/>
      <c r="EG28" s="96"/>
      <c r="EH28" s="96"/>
      <c r="EI28" s="96"/>
      <c r="EJ28" s="96"/>
      <c r="EK28" s="96"/>
      <c r="EL28" s="96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6"/>
      <c r="FB28" s="96"/>
      <c r="FC28" s="96"/>
      <c r="FD28" s="96"/>
      <c r="FE28" s="96"/>
      <c r="FF28" s="96"/>
      <c r="FG28" s="96"/>
      <c r="FH28" s="96"/>
      <c r="FI28" s="96"/>
      <c r="FJ28" s="96"/>
      <c r="FK28" s="96"/>
      <c r="FL28" s="96"/>
      <c r="FM28" s="96"/>
      <c r="FN28" s="96"/>
      <c r="FO28" s="96"/>
      <c r="FP28" s="96"/>
      <c r="FQ28" s="96"/>
      <c r="FR28" s="96"/>
      <c r="FS28" s="96"/>
      <c r="FT28" s="96"/>
      <c r="FU28" s="96"/>
      <c r="FV28" s="96"/>
      <c r="FW28" s="96"/>
      <c r="FX28" s="96"/>
      <c r="FY28" s="96"/>
      <c r="FZ28" s="96"/>
      <c r="GA28" s="96"/>
      <c r="GB28" s="96"/>
      <c r="GC28" s="96"/>
      <c r="GD28" s="96"/>
      <c r="GE28" s="96"/>
      <c r="GF28" s="96"/>
      <c r="GG28" s="96"/>
      <c r="GH28" s="96"/>
      <c r="GI28" s="96"/>
      <c r="GJ28" s="96"/>
      <c r="GK28" s="96"/>
      <c r="GL28" s="96"/>
      <c r="GM28" s="96"/>
      <c r="GN28" s="96"/>
      <c r="GO28" s="96"/>
      <c r="GP28" s="96"/>
      <c r="GQ28" s="96"/>
      <c r="GR28" s="96"/>
      <c r="GS28" s="96"/>
      <c r="GT28" s="96"/>
      <c r="GU28" s="96"/>
      <c r="GV28" s="96"/>
      <c r="GW28" s="96"/>
      <c r="GX28" s="96"/>
      <c r="GY28" s="96"/>
      <c r="GZ28" s="96"/>
      <c r="HA28" s="96"/>
      <c r="HB28" s="96"/>
      <c r="HC28" s="96"/>
      <c r="HD28" s="96"/>
      <c r="HE28" s="96"/>
      <c r="HF28" s="44"/>
      <c r="HG28" s="44"/>
      <c r="HH28" s="44"/>
      <c r="HI28" s="44"/>
      <c r="HJ28" s="44"/>
    </row>
    <row r="29" s="2" customFormat="1" ht="30.75" spans="1:218">
      <c r="A29" s="96"/>
      <c r="B29" s="97"/>
      <c r="C29" s="121" t="s">
        <v>658</v>
      </c>
      <c r="D29" s="122" cm="1">
        <f t="array" ref="D29">INDEX(_xlfn._xlws.FILTER(E29:Q29,E29:Q29&gt;0),1)</f>
        <v>9.1963532410667</v>
      </c>
      <c r="E29" s="80">
        <f>IF(E28&gt;0,E27-1+E28,0)</f>
        <v>0</v>
      </c>
      <c r="F29" s="80">
        <f>IF(F28&gt;0,F27-1+F28,0)</f>
        <v>0</v>
      </c>
      <c r="G29" s="80">
        <f t="shared" ref="F29:T29" si="9">IF(G28&gt;0,G27-1+G28,0)</f>
        <v>0</v>
      </c>
      <c r="H29" s="80">
        <f t="shared" si="9"/>
        <v>0</v>
      </c>
      <c r="I29" s="80">
        <f t="shared" si="9"/>
        <v>0</v>
      </c>
      <c r="J29" s="80">
        <f t="shared" si="9"/>
        <v>0</v>
      </c>
      <c r="K29" s="80">
        <f t="shared" si="9"/>
        <v>0</v>
      </c>
      <c r="L29" s="80">
        <f t="shared" si="9"/>
        <v>0</v>
      </c>
      <c r="M29" s="80">
        <f t="shared" si="9"/>
        <v>0</v>
      </c>
      <c r="N29" s="80">
        <f t="shared" si="9"/>
        <v>9.1963532410667</v>
      </c>
      <c r="O29" s="80">
        <f t="shared" si="9"/>
        <v>0</v>
      </c>
      <c r="P29" s="80">
        <f t="shared" si="9"/>
        <v>0</v>
      </c>
      <c r="Q29" s="80">
        <f t="shared" si="9"/>
        <v>0</v>
      </c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6"/>
      <c r="CH29" s="96"/>
      <c r="CI29" s="96"/>
      <c r="CJ29" s="96"/>
      <c r="CK29" s="96"/>
      <c r="CL29" s="96"/>
      <c r="CM29" s="96"/>
      <c r="CN29" s="96"/>
      <c r="CO29" s="96"/>
      <c r="CP29" s="96"/>
      <c r="CQ29" s="96"/>
      <c r="CR29" s="96"/>
      <c r="CS29" s="96"/>
      <c r="CT29" s="96"/>
      <c r="CU29" s="96"/>
      <c r="CV29" s="96"/>
      <c r="CW29" s="96"/>
      <c r="CX29" s="96"/>
      <c r="CY29" s="96"/>
      <c r="CZ29" s="96"/>
      <c r="DA29" s="96"/>
      <c r="DB29" s="96"/>
      <c r="DC29" s="96"/>
      <c r="DD29" s="96"/>
      <c r="DE29" s="96"/>
      <c r="DF29" s="96"/>
      <c r="DG29" s="96"/>
      <c r="DH29" s="96"/>
      <c r="DI29" s="96"/>
      <c r="DJ29" s="96"/>
      <c r="DK29" s="96"/>
      <c r="DL29" s="96"/>
      <c r="DM29" s="96"/>
      <c r="DN29" s="96"/>
      <c r="DO29" s="96"/>
      <c r="DP29" s="96"/>
      <c r="DQ29" s="96"/>
      <c r="DR29" s="96"/>
      <c r="DS29" s="96"/>
      <c r="DT29" s="96"/>
      <c r="DU29" s="96"/>
      <c r="DV29" s="96"/>
      <c r="DW29" s="96"/>
      <c r="DX29" s="96"/>
      <c r="DY29" s="96"/>
      <c r="DZ29" s="96"/>
      <c r="EA29" s="96"/>
      <c r="EB29" s="96"/>
      <c r="EC29" s="96"/>
      <c r="ED29" s="96"/>
      <c r="EE29" s="96"/>
      <c r="EF29" s="96"/>
      <c r="EG29" s="96"/>
      <c r="EH29" s="96"/>
      <c r="EI29" s="96"/>
      <c r="EJ29" s="96"/>
      <c r="EK29" s="96"/>
      <c r="EL29" s="96"/>
      <c r="EM29" s="96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6"/>
      <c r="FB29" s="96"/>
      <c r="FC29" s="96"/>
      <c r="FD29" s="96"/>
      <c r="FE29" s="96"/>
      <c r="FF29" s="96"/>
      <c r="FG29" s="96"/>
      <c r="FH29" s="96"/>
      <c r="FI29" s="96"/>
      <c r="FJ29" s="96"/>
      <c r="FK29" s="96"/>
      <c r="FL29" s="96"/>
      <c r="FM29" s="96"/>
      <c r="FN29" s="96"/>
      <c r="FO29" s="96"/>
      <c r="FP29" s="96"/>
      <c r="FQ29" s="96"/>
      <c r="FR29" s="96"/>
      <c r="FS29" s="96"/>
      <c r="FT29" s="96"/>
      <c r="FU29" s="96"/>
      <c r="FV29" s="96"/>
      <c r="FW29" s="96"/>
      <c r="FX29" s="96"/>
      <c r="FY29" s="96"/>
      <c r="FZ29" s="96"/>
      <c r="GA29" s="96"/>
      <c r="GB29" s="96"/>
      <c r="GC29" s="96"/>
      <c r="GD29" s="96"/>
      <c r="GE29" s="96"/>
      <c r="GF29" s="96"/>
      <c r="GG29" s="96"/>
      <c r="GH29" s="96"/>
      <c r="GI29" s="96"/>
      <c r="GJ29" s="96"/>
      <c r="GK29" s="96"/>
      <c r="GL29" s="96"/>
      <c r="GM29" s="96"/>
      <c r="GN29" s="96"/>
      <c r="GO29" s="96"/>
      <c r="GP29" s="96"/>
      <c r="GQ29" s="96"/>
      <c r="GR29" s="96"/>
      <c r="GS29" s="96"/>
      <c r="GT29" s="96"/>
      <c r="GU29" s="96"/>
      <c r="GV29" s="96"/>
      <c r="GW29" s="96"/>
      <c r="GX29" s="96"/>
      <c r="GY29" s="96"/>
      <c r="GZ29" s="96"/>
      <c r="HA29" s="96"/>
      <c r="HB29" s="96"/>
      <c r="HC29" s="96"/>
      <c r="HD29" s="96"/>
      <c r="HE29" s="96"/>
      <c r="HF29" s="44"/>
      <c r="HG29" s="44"/>
      <c r="HH29" s="44"/>
      <c r="HI29" s="44"/>
      <c r="HJ29" s="44"/>
    </row>
    <row r="30" spans="1:218">
      <c r="A30" s="96"/>
      <c r="B30" s="97"/>
      <c r="C30" s="96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96"/>
      <c r="S30" s="96"/>
      <c r="T30" s="96"/>
      <c r="U30" s="96"/>
      <c r="V30" s="96"/>
    </row>
    <row r="31" spans="1:218">
      <c r="A31" s="96"/>
      <c r="B31" s="97"/>
      <c r="C31" s="96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96"/>
      <c r="S31" s="96"/>
      <c r="T31" s="96"/>
      <c r="U31" s="96"/>
      <c r="V31" s="96"/>
    </row>
    <row r="32" spans="1:218">
      <c r="A32" s="96"/>
      <c r="B32" s="97"/>
      <c r="C32" s="96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96"/>
      <c r="S32" s="96"/>
      <c r="T32" s="96"/>
      <c r="U32" s="96"/>
      <c r="V32" s="96"/>
    </row>
    <row r="33" spans="1:22">
      <c r="A33" s="96"/>
      <c r="B33" s="97"/>
      <c r="C33" s="96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96"/>
      <c r="S33" s="96"/>
      <c r="T33" s="96"/>
      <c r="U33" s="96"/>
      <c r="V33" s="96"/>
    </row>
    <row r="34" spans="1:22">
      <c r="A34" s="96"/>
      <c r="B34" s="97"/>
      <c r="C34" s="96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96"/>
      <c r="S34" s="96"/>
      <c r="T34" s="96"/>
      <c r="U34" s="96"/>
      <c r="V34" s="96"/>
    </row>
    <row r="35" spans="1:22">
      <c r="A35" s="96"/>
      <c r="B35" s="97"/>
      <c r="C35" s="96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96"/>
      <c r="S35" s="96"/>
      <c r="T35" s="96"/>
      <c r="U35" s="96"/>
      <c r="V35" s="96"/>
    </row>
    <row r="36" spans="1:22">
      <c r="A36" s="96"/>
      <c r="B36" s="97"/>
      <c r="C36" s="96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96"/>
      <c r="S36" s="96"/>
      <c r="T36" s="96"/>
      <c r="U36" s="96"/>
      <c r="V36" s="96"/>
    </row>
    <row r="37" spans="1:22">
      <c r="A37" s="96"/>
      <c r="B37" s="97"/>
      <c r="C37" s="96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96"/>
      <c r="S37" s="96"/>
      <c r="T37" s="96"/>
      <c r="U37" s="96"/>
      <c r="V37" s="96"/>
    </row>
    <row r="38" spans="1:22">
      <c r="A38" s="96"/>
      <c r="B38" s="97"/>
      <c r="C38" s="96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96"/>
      <c r="S38" s="96"/>
      <c r="T38" s="96"/>
      <c r="U38" s="96"/>
      <c r="V38" s="96"/>
    </row>
    <row r="39" spans="1:22">
      <c r="A39" s="96"/>
      <c r="B39" s="97"/>
      <c r="C39" s="96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96"/>
      <c r="S39" s="96"/>
      <c r="T39" s="96"/>
      <c r="U39" s="96"/>
      <c r="V39" s="96"/>
    </row>
    <row r="40" spans="1:22">
      <c r="A40" s="96"/>
      <c r="B40" s="97"/>
      <c r="C40" s="96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96"/>
      <c r="S40" s="96"/>
      <c r="T40" s="96"/>
      <c r="U40" s="96"/>
      <c r="V40" s="96"/>
    </row>
    <row r="41" spans="1:22">
      <c r="A41" s="96"/>
      <c r="B41" s="97"/>
      <c r="C41" s="96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96"/>
      <c r="S41" s="96"/>
      <c r="T41" s="96"/>
      <c r="U41" s="96"/>
      <c r="V41" s="96"/>
    </row>
    <row r="42" spans="1:22">
      <c r="A42" s="96"/>
      <c r="B42" s="97"/>
      <c r="C42" s="96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96"/>
      <c r="S42" s="96"/>
      <c r="T42" s="96"/>
      <c r="U42" s="96"/>
      <c r="V42" s="96"/>
    </row>
    <row r="43" spans="1:22">
      <c r="A43" s="96"/>
      <c r="B43" s="97"/>
      <c r="C43" s="96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96"/>
      <c r="S43" s="96"/>
      <c r="T43" s="96"/>
      <c r="U43" s="96"/>
      <c r="V43" s="96"/>
    </row>
    <row r="44" spans="1:22">
      <c r="A44" s="96"/>
      <c r="B44" s="97"/>
      <c r="C44" s="96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96"/>
      <c r="S44" s="96"/>
      <c r="T44" s="96"/>
      <c r="U44" s="96"/>
      <c r="V44" s="96"/>
    </row>
    <row r="45" spans="1:22">
      <c r="A45" s="96"/>
      <c r="B45" s="97"/>
      <c r="C45" s="96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96"/>
      <c r="S45" s="96"/>
      <c r="T45" s="96"/>
      <c r="U45" s="96"/>
      <c r="V45" s="96"/>
    </row>
    <row r="46" spans="1:22">
      <c r="A46" s="96"/>
      <c r="B46" s="97"/>
      <c r="C46" s="96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96"/>
      <c r="S46" s="96"/>
      <c r="T46" s="96"/>
      <c r="U46" s="96"/>
      <c r="V46" s="96"/>
    </row>
    <row r="47" spans="1:22">
      <c r="A47" s="96"/>
      <c r="B47" s="97"/>
      <c r="C47" s="96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96"/>
      <c r="S47" s="96"/>
      <c r="T47" s="96"/>
      <c r="U47" s="96"/>
      <c r="V47" s="96"/>
    </row>
    <row r="48" spans="1:22">
      <c r="A48" s="96"/>
      <c r="B48" s="97"/>
      <c r="C48" s="96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96"/>
      <c r="S48" s="96"/>
      <c r="T48" s="96"/>
      <c r="U48" s="96"/>
      <c r="V48" s="96"/>
    </row>
    <row r="49" spans="1:22">
      <c r="A49" s="96"/>
      <c r="B49" s="97"/>
      <c r="C49" s="96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96"/>
      <c r="S49" s="96"/>
      <c r="T49" s="96"/>
      <c r="U49" s="96"/>
      <c r="V49" s="96"/>
    </row>
    <row r="50" spans="1:22">
      <c r="A50" s="96"/>
      <c r="B50" s="97"/>
      <c r="C50" s="96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96"/>
      <c r="S50" s="96"/>
      <c r="T50" s="96"/>
      <c r="U50" s="96"/>
      <c r="V50" s="96"/>
    </row>
    <row r="51" spans="1:22">
      <c r="A51" s="96"/>
      <c r="B51" s="97"/>
      <c r="C51" s="96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96"/>
      <c r="S51" s="96"/>
      <c r="T51" s="96"/>
      <c r="U51" s="96"/>
      <c r="V51" s="96"/>
    </row>
    <row r="52" spans="1:22">
      <c r="A52" s="96"/>
      <c r="B52" s="97"/>
      <c r="C52" s="96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96"/>
      <c r="S52" s="96"/>
      <c r="T52" s="96"/>
      <c r="U52" s="96"/>
      <c r="V52" s="96"/>
    </row>
    <row r="53" spans="1:22">
      <c r="A53" s="96"/>
      <c r="B53" s="97"/>
      <c r="C53" s="96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96"/>
      <c r="S53" s="96"/>
      <c r="T53" s="96"/>
      <c r="U53" s="96"/>
      <c r="V53" s="96"/>
    </row>
    <row r="54" spans="1:22">
      <c r="A54" s="96"/>
      <c r="B54" s="97"/>
      <c r="C54" s="96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96"/>
      <c r="S54" s="96"/>
      <c r="T54" s="96"/>
      <c r="U54" s="96"/>
      <c r="V54" s="96"/>
    </row>
    <row r="55" spans="1:22">
      <c r="A55" s="96"/>
      <c r="B55" s="97"/>
      <c r="C55" s="96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96"/>
      <c r="S55" s="96"/>
      <c r="T55" s="96"/>
      <c r="U55" s="96"/>
      <c r="V55" s="96"/>
    </row>
    <row r="56" spans="1:22">
      <c r="A56" s="96"/>
      <c r="B56" s="97"/>
      <c r="C56" s="96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96"/>
      <c r="S56" s="96"/>
      <c r="T56" s="96"/>
      <c r="U56" s="96"/>
      <c r="V56" s="96"/>
    </row>
    <row r="57" spans="1:22">
      <c r="A57" s="96"/>
      <c r="B57" s="97"/>
      <c r="C57" s="96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96"/>
      <c r="S57" s="96"/>
      <c r="T57" s="96"/>
      <c r="U57" s="96"/>
      <c r="V57" s="96"/>
    </row>
    <row r="58" spans="1:22">
      <c r="A58" s="96"/>
      <c r="B58" s="97"/>
      <c r="C58" s="96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96"/>
      <c r="S58" s="96"/>
      <c r="T58" s="96"/>
      <c r="U58" s="96"/>
      <c r="V58" s="96"/>
    </row>
    <row r="59" spans="1:22">
      <c r="A59" s="96"/>
      <c r="B59" s="97"/>
      <c r="C59" s="96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96"/>
      <c r="S59" s="96"/>
      <c r="T59" s="96"/>
      <c r="U59" s="96"/>
      <c r="V59" s="96"/>
    </row>
    <row r="60" spans="1:22">
      <c r="A60" s="96"/>
      <c r="B60" s="97"/>
      <c r="C60" s="96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96"/>
      <c r="S60" s="96"/>
      <c r="T60" s="96"/>
      <c r="U60" s="96"/>
      <c r="V60" s="96"/>
    </row>
    <row r="61" spans="1:22">
      <c r="A61" s="96"/>
      <c r="B61" s="97"/>
      <c r="C61" s="96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96"/>
      <c r="S61" s="96"/>
      <c r="T61" s="96"/>
      <c r="U61" s="96"/>
      <c r="V61" s="96"/>
    </row>
    <row r="62" spans="1:22">
      <c r="A62" s="96"/>
      <c r="B62" s="97"/>
      <c r="C62" s="96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96"/>
      <c r="S62" s="96"/>
      <c r="T62" s="96"/>
      <c r="U62" s="96"/>
      <c r="V62" s="96"/>
    </row>
    <row r="63" spans="1:22">
      <c r="A63" s="96"/>
      <c r="B63" s="97"/>
      <c r="C63" s="96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96"/>
      <c r="S63" s="96"/>
      <c r="T63" s="96"/>
      <c r="U63" s="96"/>
      <c r="V63" s="96"/>
    </row>
    <row r="64" spans="1:22">
      <c r="A64" s="96"/>
      <c r="B64" s="97"/>
      <c r="C64" s="96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96"/>
      <c r="S64" s="96"/>
      <c r="T64" s="96"/>
      <c r="U64" s="96"/>
      <c r="V64" s="96"/>
    </row>
    <row r="65" spans="1:22">
      <c r="A65" s="96"/>
      <c r="B65" s="97"/>
      <c r="C65" s="96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96"/>
      <c r="S65" s="96"/>
      <c r="T65" s="96"/>
      <c r="U65" s="96"/>
      <c r="V65" s="96"/>
    </row>
    <row r="66" spans="1:22">
      <c r="A66" s="96"/>
      <c r="B66" s="97"/>
      <c r="C66" s="96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96"/>
      <c r="S66" s="96"/>
      <c r="T66" s="96"/>
      <c r="U66" s="96"/>
      <c r="V66" s="96"/>
    </row>
    <row r="67" spans="1:22">
      <c r="A67" s="96"/>
      <c r="B67" s="97"/>
      <c r="C67" s="96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96"/>
      <c r="S67" s="96"/>
      <c r="T67" s="96"/>
      <c r="U67" s="96"/>
      <c r="V67" s="96"/>
    </row>
    <row r="68" spans="1:22">
      <c r="A68" s="96"/>
      <c r="B68" s="97"/>
      <c r="C68" s="96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96"/>
      <c r="S68" s="96"/>
      <c r="T68" s="96"/>
      <c r="U68" s="96"/>
      <c r="V68" s="96"/>
    </row>
    <row r="69" spans="1:22">
      <c r="A69" s="96"/>
      <c r="B69" s="97"/>
      <c r="C69" s="96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96"/>
      <c r="S69" s="96"/>
      <c r="T69" s="96"/>
      <c r="U69" s="96"/>
      <c r="V69" s="96"/>
    </row>
    <row r="70" spans="1:22">
      <c r="A70" s="96"/>
      <c r="B70" s="97"/>
      <c r="C70" s="96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96"/>
      <c r="S70" s="96"/>
      <c r="T70" s="96"/>
      <c r="U70" s="96"/>
      <c r="V70" s="96"/>
    </row>
    <row r="71" spans="1:22">
      <c r="A71" s="96"/>
      <c r="B71" s="97"/>
      <c r="C71" s="96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96"/>
      <c r="S71" s="96"/>
      <c r="T71" s="96"/>
      <c r="U71" s="96"/>
      <c r="V71" s="96"/>
    </row>
    <row r="72" spans="1:22">
      <c r="A72" s="96"/>
      <c r="B72" s="97"/>
      <c r="C72" s="96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96"/>
      <c r="S72" s="96"/>
      <c r="T72" s="96"/>
      <c r="U72" s="96"/>
      <c r="V72" s="96"/>
    </row>
    <row r="73" spans="1:22">
      <c r="A73" s="96"/>
      <c r="B73" s="97"/>
      <c r="C73" s="96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96"/>
      <c r="S73" s="96"/>
      <c r="T73" s="96"/>
      <c r="U73" s="96"/>
      <c r="V73" s="96"/>
    </row>
    <row r="74" spans="1:22">
      <c r="A74" s="96"/>
      <c r="B74" s="97"/>
      <c r="C74" s="96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96"/>
      <c r="S74" s="96"/>
      <c r="T74" s="96"/>
      <c r="U74" s="96"/>
      <c r="V74" s="96"/>
    </row>
    <row r="75" spans="1:22">
      <c r="A75" s="96"/>
      <c r="B75" s="97"/>
      <c r="C75" s="96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96"/>
      <c r="S75" s="96"/>
      <c r="T75" s="96"/>
      <c r="U75" s="96"/>
      <c r="V75" s="96"/>
    </row>
    <row r="76" spans="1:22">
      <c r="A76" s="96"/>
      <c r="B76" s="97"/>
      <c r="C76" s="96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96"/>
      <c r="S76" s="96"/>
      <c r="T76" s="96"/>
      <c r="U76" s="96"/>
      <c r="V76" s="96"/>
    </row>
    <row r="77" spans="1:22">
      <c r="A77" s="96"/>
      <c r="B77" s="97"/>
      <c r="C77" s="96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96"/>
      <c r="S77" s="96"/>
      <c r="T77" s="96"/>
      <c r="U77" s="96"/>
      <c r="V77" s="96"/>
    </row>
    <row r="78" spans="1:22">
      <c r="A78" s="96"/>
      <c r="B78" s="97"/>
      <c r="C78" s="96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96"/>
      <c r="S78" s="96"/>
      <c r="T78" s="96"/>
      <c r="U78" s="96"/>
      <c r="V78" s="96"/>
    </row>
    <row r="79" spans="1:22">
      <c r="A79" s="96"/>
      <c r="B79" s="97"/>
      <c r="C79" s="96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96"/>
      <c r="S79" s="96"/>
      <c r="T79" s="96"/>
      <c r="U79" s="96"/>
      <c r="V79" s="96"/>
    </row>
    <row r="80" spans="1:22">
      <c r="A80" s="96"/>
      <c r="B80" s="97"/>
      <c r="C80" s="96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96"/>
      <c r="S80" s="96"/>
      <c r="T80" s="96"/>
      <c r="U80" s="96"/>
      <c r="V80" s="96"/>
    </row>
    <row r="81" spans="1:22">
      <c r="A81" s="96"/>
      <c r="B81" s="97"/>
      <c r="C81" s="96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96"/>
      <c r="S81" s="96"/>
      <c r="T81" s="96"/>
      <c r="U81" s="96"/>
      <c r="V81" s="96"/>
    </row>
    <row r="82" spans="1:22">
      <c r="A82" s="96"/>
      <c r="B82" s="97"/>
      <c r="C82" s="96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96"/>
      <c r="S82" s="96"/>
      <c r="T82" s="96"/>
      <c r="U82" s="96"/>
      <c r="V82" s="96"/>
    </row>
    <row r="83" spans="1:22">
      <c r="A83" s="96"/>
      <c r="B83" s="97"/>
      <c r="C83" s="96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96"/>
      <c r="S83" s="96"/>
      <c r="T83" s="96"/>
      <c r="U83" s="96"/>
      <c r="V83" s="96"/>
    </row>
    <row r="84" spans="1:22">
      <c r="A84" s="96"/>
      <c r="B84" s="97"/>
      <c r="C84" s="96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96"/>
      <c r="S84" s="96"/>
      <c r="T84" s="96"/>
      <c r="U84" s="96"/>
      <c r="V84" s="96"/>
    </row>
    <row r="85" spans="1:22">
      <c r="A85" s="96"/>
      <c r="B85" s="97"/>
      <c r="C85" s="96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96"/>
      <c r="S85" s="96"/>
      <c r="T85" s="96"/>
      <c r="U85" s="96"/>
      <c r="V85" s="96"/>
    </row>
    <row r="86" spans="1:22">
      <c r="A86" s="96"/>
      <c r="B86" s="97"/>
      <c r="C86" s="96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96"/>
      <c r="S86" s="96"/>
      <c r="T86" s="96"/>
      <c r="U86" s="96"/>
      <c r="V86" s="96"/>
    </row>
    <row r="87" spans="1:22">
      <c r="A87" s="96"/>
      <c r="B87" s="97"/>
      <c r="C87" s="96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96"/>
      <c r="S87" s="96"/>
      <c r="T87" s="96"/>
      <c r="U87" s="96"/>
      <c r="V87" s="96"/>
    </row>
    <row r="88" spans="1:22">
      <c r="A88" s="96"/>
      <c r="B88" s="97"/>
      <c r="C88" s="96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96"/>
      <c r="S88" s="96"/>
      <c r="T88" s="96"/>
      <c r="U88" s="96"/>
      <c r="V88" s="96"/>
    </row>
    <row r="89" spans="1:22">
      <c r="A89" s="96"/>
      <c r="B89" s="97"/>
      <c r="C89" s="96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96"/>
      <c r="S89" s="96"/>
      <c r="T89" s="96"/>
      <c r="U89" s="96"/>
      <c r="V89" s="96"/>
    </row>
    <row r="90" spans="1:22">
      <c r="A90" s="96"/>
      <c r="B90" s="97"/>
      <c r="C90" s="96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96"/>
      <c r="S90" s="96"/>
      <c r="T90" s="96"/>
      <c r="U90" s="96"/>
      <c r="V90" s="96"/>
    </row>
    <row r="91" spans="1:22">
      <c r="A91" s="96"/>
      <c r="B91" s="97"/>
      <c r="C91" s="96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96"/>
      <c r="S91" s="96"/>
      <c r="T91" s="96"/>
      <c r="U91" s="96"/>
      <c r="V91" s="96"/>
    </row>
    <row r="92" spans="1:22">
      <c r="A92" s="96"/>
      <c r="B92" s="97"/>
      <c r="C92" s="96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96"/>
      <c r="S92" s="96"/>
      <c r="T92" s="96"/>
      <c r="U92" s="96"/>
      <c r="V92" s="96"/>
    </row>
    <row r="93" spans="1:22">
      <c r="A93" s="96"/>
      <c r="B93" s="97"/>
      <c r="C93" s="96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96"/>
      <c r="S93" s="96"/>
      <c r="T93" s="96"/>
      <c r="U93" s="96"/>
      <c r="V93" s="96"/>
    </row>
    <row r="94" spans="1:22">
      <c r="A94" s="96"/>
      <c r="B94" s="97"/>
      <c r="C94" s="96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96"/>
      <c r="S94" s="96"/>
      <c r="T94" s="96"/>
      <c r="U94" s="96"/>
      <c r="V94" s="96"/>
    </row>
    <row r="95" spans="1:22">
      <c r="A95" s="96"/>
      <c r="B95" s="97"/>
      <c r="C95" s="96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96"/>
      <c r="S95" s="96"/>
      <c r="T95" s="96"/>
      <c r="U95" s="96"/>
      <c r="V95" s="96"/>
    </row>
    <row r="96" spans="1:22">
      <c r="A96" s="96"/>
      <c r="B96" s="97"/>
      <c r="C96" s="96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96"/>
      <c r="S96" s="96"/>
      <c r="T96" s="96"/>
      <c r="U96" s="96"/>
      <c r="V96" s="96"/>
    </row>
    <row r="97" spans="1:22">
      <c r="A97" s="96"/>
      <c r="B97" s="97"/>
      <c r="C97" s="96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96"/>
      <c r="S97" s="96"/>
      <c r="T97" s="96"/>
      <c r="U97" s="96"/>
      <c r="V97" s="96"/>
    </row>
    <row r="98" spans="1:22">
      <c r="A98" s="96"/>
      <c r="B98" s="97"/>
      <c r="C98" s="96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96"/>
      <c r="S98" s="96"/>
      <c r="T98" s="96"/>
      <c r="U98" s="96"/>
      <c r="V98" s="96"/>
    </row>
    <row r="99" spans="1:22">
      <c r="A99" s="96"/>
      <c r="B99" s="97"/>
      <c r="C99" s="96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96"/>
      <c r="S99" s="96"/>
      <c r="T99" s="96"/>
      <c r="U99" s="96"/>
      <c r="V99" s="96"/>
    </row>
    <row r="100" spans="1:22">
      <c r="A100" s="96"/>
      <c r="B100" s="97"/>
      <c r="C100" s="96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96"/>
      <c r="S100" s="96"/>
      <c r="T100" s="96"/>
      <c r="U100" s="96"/>
      <c r="V100" s="96"/>
    </row>
    <row r="101" spans="1:22">
      <c r="A101" s="96"/>
      <c r="B101" s="97"/>
      <c r="C101" s="96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96"/>
      <c r="S101" s="96"/>
      <c r="T101" s="96"/>
      <c r="U101" s="96"/>
      <c r="V101" s="96"/>
    </row>
    <row r="102" spans="1:22">
      <c r="A102" s="96"/>
      <c r="B102" s="97"/>
      <c r="C102" s="96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96"/>
      <c r="S102" s="96"/>
      <c r="T102" s="96"/>
      <c r="U102" s="96"/>
      <c r="V102" s="96"/>
    </row>
    <row r="103" spans="1:22">
      <c r="A103" s="96"/>
      <c r="B103" s="97"/>
      <c r="C103" s="96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96"/>
      <c r="S103" s="96"/>
      <c r="T103" s="96"/>
      <c r="U103" s="96"/>
      <c r="V103" s="96"/>
    </row>
    <row r="104" spans="1:22">
      <c r="A104" s="96"/>
      <c r="B104" s="97"/>
      <c r="C104" s="96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96"/>
      <c r="S104" s="96"/>
      <c r="T104" s="96"/>
      <c r="U104" s="96"/>
      <c r="V104" s="96"/>
    </row>
    <row r="105" spans="1:22">
      <c r="A105" s="96"/>
      <c r="B105" s="97"/>
      <c r="C105" s="96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96"/>
      <c r="S105" s="96"/>
      <c r="T105" s="96"/>
      <c r="U105" s="96"/>
      <c r="V105" s="96"/>
    </row>
    <row r="106" spans="1:22">
      <c r="A106" s="96"/>
      <c r="B106" s="97"/>
      <c r="C106" s="96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96"/>
      <c r="S106" s="96"/>
      <c r="T106" s="96"/>
      <c r="U106" s="96"/>
      <c r="V106" s="96"/>
    </row>
    <row r="107" spans="1:22">
      <c r="A107" s="96"/>
      <c r="B107" s="97"/>
      <c r="C107" s="96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96"/>
      <c r="S107" s="96"/>
      <c r="T107" s="96"/>
      <c r="U107" s="96"/>
      <c r="V107" s="96"/>
    </row>
    <row r="108" spans="1:22">
      <c r="A108" s="96"/>
      <c r="B108" s="97"/>
      <c r="C108" s="96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96"/>
      <c r="S108" s="96"/>
      <c r="T108" s="96"/>
      <c r="U108" s="96"/>
      <c r="V108" s="96"/>
    </row>
    <row r="109" spans="1:22">
      <c r="A109" s="96"/>
      <c r="B109" s="97"/>
      <c r="C109" s="96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96"/>
      <c r="S109" s="96"/>
      <c r="T109" s="96"/>
      <c r="U109" s="96"/>
      <c r="V109" s="96"/>
    </row>
    <row r="110" spans="1:22">
      <c r="A110" s="96"/>
      <c r="B110" s="97"/>
      <c r="C110" s="96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96"/>
      <c r="S110" s="96"/>
      <c r="T110" s="96"/>
      <c r="U110" s="96"/>
      <c r="V110" s="96"/>
    </row>
    <row r="111" spans="1:22">
      <c r="A111" s="96"/>
      <c r="B111" s="97"/>
      <c r="C111" s="96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96"/>
      <c r="S111" s="96"/>
      <c r="T111" s="96"/>
      <c r="U111" s="96"/>
      <c r="V111" s="96"/>
    </row>
    <row r="112" spans="1:22">
      <c r="A112" s="96"/>
      <c r="B112" s="97"/>
      <c r="C112" s="96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96"/>
      <c r="S112" s="96"/>
      <c r="T112" s="96"/>
      <c r="U112" s="96"/>
      <c r="V112" s="96"/>
    </row>
    <row r="113" spans="1:22">
      <c r="A113" s="96"/>
      <c r="B113" s="97"/>
      <c r="C113" s="96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96"/>
      <c r="S113" s="96"/>
      <c r="T113" s="96"/>
      <c r="U113" s="96"/>
      <c r="V113" s="96"/>
    </row>
    <row r="114" spans="1:22">
      <c r="A114" s="96"/>
      <c r="B114" s="97"/>
      <c r="C114" s="96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96"/>
      <c r="S114" s="96"/>
      <c r="T114" s="96"/>
      <c r="U114" s="96"/>
      <c r="V114" s="96"/>
    </row>
    <row r="115" spans="1:22">
      <c r="A115" s="96"/>
      <c r="B115" s="97"/>
      <c r="C115" s="96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96"/>
      <c r="S115" s="96"/>
      <c r="T115" s="96"/>
      <c r="U115" s="96"/>
      <c r="V115" s="96"/>
    </row>
    <row r="116" spans="1:22">
      <c r="A116" s="96"/>
      <c r="B116" s="97"/>
      <c r="C116" s="96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96"/>
      <c r="S116" s="96"/>
      <c r="T116" s="96"/>
      <c r="U116" s="96"/>
      <c r="V116" s="96"/>
    </row>
    <row r="117" spans="1:22">
      <c r="A117" s="96"/>
      <c r="B117" s="97"/>
      <c r="C117" s="96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96"/>
      <c r="S117" s="96"/>
      <c r="T117" s="96"/>
      <c r="U117" s="96"/>
      <c r="V117" s="96"/>
    </row>
    <row r="118" spans="1:22">
      <c r="A118" s="96"/>
      <c r="B118" s="97"/>
      <c r="C118" s="96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96"/>
      <c r="S118" s="96"/>
      <c r="T118" s="96"/>
      <c r="U118" s="96"/>
      <c r="V118" s="96"/>
    </row>
    <row r="119" spans="1:22">
      <c r="A119" s="96"/>
      <c r="B119" s="97"/>
      <c r="C119" s="96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96"/>
      <c r="S119" s="96"/>
      <c r="T119" s="96"/>
      <c r="U119" s="96"/>
      <c r="V119" s="96"/>
    </row>
    <row r="120" spans="1:22">
      <c r="A120" s="96"/>
      <c r="B120" s="97"/>
      <c r="C120" s="96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96"/>
      <c r="S120" s="96"/>
      <c r="T120" s="96"/>
      <c r="U120" s="96"/>
      <c r="V120" s="96"/>
    </row>
    <row r="121" spans="1:22">
      <c r="A121" s="96"/>
      <c r="B121" s="97"/>
      <c r="C121" s="96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96"/>
      <c r="S121" s="96"/>
      <c r="T121" s="96"/>
      <c r="U121" s="96"/>
      <c r="V121" s="96"/>
    </row>
    <row r="122" spans="1:22">
      <c r="A122" s="96"/>
      <c r="B122" s="97"/>
      <c r="C122" s="96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96"/>
      <c r="S122" s="96"/>
      <c r="T122" s="96"/>
      <c r="U122" s="96"/>
      <c r="V122" s="96"/>
    </row>
    <row r="123" spans="1:22">
      <c r="A123" s="96"/>
      <c r="B123" s="97"/>
      <c r="C123" s="96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96"/>
      <c r="S123" s="96"/>
      <c r="T123" s="96"/>
      <c r="U123" s="96"/>
      <c r="V123" s="96"/>
    </row>
    <row r="124" spans="1:22">
      <c r="A124" s="96"/>
      <c r="B124" s="97"/>
      <c r="C124" s="96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96"/>
      <c r="S124" s="96"/>
      <c r="T124" s="96"/>
      <c r="U124" s="96"/>
      <c r="V124" s="96"/>
    </row>
    <row r="125" spans="1:22">
      <c r="A125" s="96"/>
      <c r="B125" s="97"/>
      <c r="C125" s="96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96"/>
      <c r="S125" s="96"/>
      <c r="T125" s="96"/>
      <c r="U125" s="96"/>
      <c r="V125" s="96"/>
    </row>
    <row r="126" spans="1:22">
      <c r="A126" s="96"/>
      <c r="B126" s="97"/>
      <c r="C126" s="96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96"/>
      <c r="S126" s="96"/>
      <c r="T126" s="96"/>
      <c r="U126" s="96"/>
      <c r="V126" s="96"/>
    </row>
    <row r="127" spans="1:22">
      <c r="A127" s="96"/>
      <c r="B127" s="97"/>
      <c r="C127" s="96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96"/>
      <c r="S127" s="96"/>
      <c r="T127" s="96"/>
      <c r="U127" s="96"/>
      <c r="V127" s="96"/>
    </row>
    <row r="128" spans="1:22">
      <c r="A128" s="96"/>
      <c r="B128" s="97"/>
      <c r="C128" s="96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96"/>
      <c r="S128" s="96"/>
      <c r="T128" s="96"/>
      <c r="U128" s="96"/>
      <c r="V128" s="96"/>
    </row>
    <row r="129" spans="1:22">
      <c r="A129" s="96"/>
      <c r="B129" s="97"/>
      <c r="C129" s="96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96"/>
      <c r="S129" s="96"/>
      <c r="T129" s="96"/>
      <c r="U129" s="96"/>
      <c r="V129" s="96"/>
    </row>
    <row r="130" spans="1:22">
      <c r="A130" s="96"/>
      <c r="B130" s="97"/>
      <c r="C130" s="96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96"/>
      <c r="S130" s="96"/>
      <c r="T130" s="96"/>
      <c r="U130" s="96"/>
      <c r="V130" s="96"/>
    </row>
    <row r="131" spans="1:22">
      <c r="A131" s="96"/>
      <c r="B131" s="97"/>
      <c r="C131" s="96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96"/>
      <c r="S131" s="96"/>
      <c r="T131" s="96"/>
      <c r="U131" s="96"/>
      <c r="V131" s="96"/>
    </row>
    <row r="132" spans="1:22">
      <c r="A132" s="96"/>
      <c r="B132" s="97"/>
      <c r="C132" s="96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96"/>
      <c r="S132" s="96"/>
      <c r="T132" s="96"/>
      <c r="U132" s="96"/>
      <c r="V132" s="96"/>
    </row>
    <row r="133" spans="1:22">
      <c r="A133" s="96"/>
      <c r="B133" s="97"/>
      <c r="C133" s="96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96"/>
      <c r="S133" s="96"/>
      <c r="T133" s="96"/>
      <c r="U133" s="96"/>
      <c r="V133" s="96"/>
    </row>
    <row r="134" spans="1:22">
      <c r="A134" s="96"/>
      <c r="B134" s="97"/>
      <c r="C134" s="96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96"/>
      <c r="S134" s="96"/>
      <c r="T134" s="96"/>
      <c r="U134" s="96"/>
      <c r="V134" s="96"/>
    </row>
    <row r="135" spans="1:22">
      <c r="A135" s="96"/>
      <c r="B135" s="97"/>
      <c r="C135" s="96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96"/>
      <c r="S135" s="96"/>
      <c r="T135" s="96"/>
      <c r="U135" s="96"/>
      <c r="V135" s="96"/>
    </row>
    <row r="136" spans="1:22">
      <c r="A136" s="96"/>
      <c r="B136" s="97"/>
      <c r="C136" s="96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96"/>
      <c r="S136" s="96"/>
      <c r="T136" s="96"/>
      <c r="U136" s="96"/>
      <c r="V136" s="96"/>
    </row>
    <row r="137" spans="1:22">
      <c r="A137" s="96"/>
      <c r="B137" s="97"/>
      <c r="C137" s="96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96"/>
      <c r="S137" s="96"/>
      <c r="T137" s="96"/>
      <c r="U137" s="96"/>
      <c r="V137" s="96"/>
    </row>
    <row r="138" spans="1:22">
      <c r="A138" s="96"/>
      <c r="B138" s="97"/>
      <c r="C138" s="96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96"/>
      <c r="S138" s="96"/>
      <c r="T138" s="96"/>
      <c r="U138" s="96"/>
      <c r="V138" s="96"/>
    </row>
    <row r="139" spans="1:22">
      <c r="A139" s="96"/>
      <c r="B139" s="97"/>
      <c r="C139" s="96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96"/>
      <c r="S139" s="96"/>
      <c r="T139" s="96"/>
      <c r="U139" s="96"/>
      <c r="V139" s="96"/>
    </row>
    <row r="140" spans="1:22">
      <c r="A140" s="96"/>
      <c r="B140" s="97"/>
      <c r="C140" s="96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96"/>
      <c r="S140" s="96"/>
      <c r="T140" s="96"/>
      <c r="U140" s="96"/>
      <c r="V140" s="96"/>
    </row>
    <row r="141" spans="1:22">
      <c r="A141" s="96"/>
      <c r="B141" s="97"/>
      <c r="C141" s="96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96"/>
      <c r="S141" s="96"/>
      <c r="T141" s="96"/>
      <c r="U141" s="96"/>
      <c r="V141" s="96"/>
    </row>
    <row r="142" spans="1:22">
      <c r="A142" s="96"/>
      <c r="B142" s="97"/>
      <c r="C142" s="96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96"/>
      <c r="S142" s="96"/>
      <c r="T142" s="96"/>
      <c r="U142" s="96"/>
      <c r="V142" s="96"/>
    </row>
    <row r="143" spans="1:22">
      <c r="A143" s="96"/>
      <c r="B143" s="97"/>
      <c r="C143" s="96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96"/>
      <c r="S143" s="96"/>
      <c r="T143" s="96"/>
      <c r="U143" s="96"/>
      <c r="V143" s="96"/>
    </row>
    <row r="144" spans="1:22">
      <c r="A144" s="96"/>
      <c r="B144" s="97"/>
      <c r="C144" s="96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96"/>
      <c r="S144" s="96"/>
      <c r="T144" s="96"/>
      <c r="U144" s="96"/>
      <c r="V144" s="96"/>
    </row>
    <row r="145" spans="1:22">
      <c r="A145" s="96"/>
      <c r="B145" s="97"/>
      <c r="C145" s="96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96"/>
      <c r="S145" s="96"/>
      <c r="T145" s="96"/>
      <c r="U145" s="96"/>
      <c r="V145" s="96"/>
    </row>
    <row r="146" spans="1:22">
      <c r="A146" s="96"/>
      <c r="B146" s="97"/>
      <c r="C146" s="96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96"/>
      <c r="S146" s="96"/>
      <c r="T146" s="96"/>
      <c r="U146" s="96"/>
      <c r="V146" s="96"/>
    </row>
    <row r="147" spans="1:22">
      <c r="A147" s="96"/>
      <c r="B147" s="97"/>
      <c r="C147" s="96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96"/>
      <c r="S147" s="96"/>
      <c r="T147" s="96"/>
      <c r="U147" s="96"/>
      <c r="V147" s="96"/>
    </row>
    <row r="148" spans="1:22">
      <c r="A148" s="96"/>
      <c r="B148" s="97"/>
      <c r="C148" s="96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96"/>
      <c r="S148" s="96"/>
      <c r="T148" s="96"/>
      <c r="U148" s="96"/>
      <c r="V148" s="96"/>
    </row>
    <row r="149" spans="1:22">
      <c r="A149" s="96"/>
      <c r="B149" s="97"/>
      <c r="C149" s="96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96"/>
      <c r="S149" s="96"/>
      <c r="T149" s="96"/>
      <c r="U149" s="96"/>
      <c r="V149" s="96"/>
    </row>
    <row r="150" spans="1:22">
      <c r="A150" s="96"/>
      <c r="B150" s="97"/>
      <c r="C150" s="96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96"/>
      <c r="S150" s="96"/>
      <c r="T150" s="96"/>
      <c r="U150" s="96"/>
      <c r="V150" s="96"/>
    </row>
    <row r="151" spans="1:22">
      <c r="A151" s="96"/>
      <c r="B151" s="97"/>
      <c r="C151" s="96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96"/>
      <c r="S151" s="96"/>
      <c r="T151" s="96"/>
      <c r="U151" s="96"/>
      <c r="V151" s="96"/>
    </row>
    <row r="152" spans="1:22">
      <c r="A152" s="96"/>
      <c r="B152" s="97"/>
      <c r="C152" s="96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96"/>
      <c r="S152" s="96"/>
      <c r="T152" s="96"/>
      <c r="U152" s="96"/>
      <c r="V152" s="96"/>
    </row>
    <row r="153" spans="1:22">
      <c r="A153" s="96"/>
      <c r="B153" s="97"/>
      <c r="C153" s="96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96"/>
      <c r="S153" s="96"/>
      <c r="T153" s="96"/>
      <c r="U153" s="96"/>
      <c r="V153" s="96"/>
    </row>
    <row r="154" spans="1:22">
      <c r="A154" s="96"/>
      <c r="B154" s="97"/>
      <c r="C154" s="96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96"/>
      <c r="S154" s="96"/>
      <c r="T154" s="96"/>
      <c r="U154" s="96"/>
      <c r="V154" s="96"/>
    </row>
    <row r="155" spans="1:22">
      <c r="A155" s="96"/>
      <c r="B155" s="97"/>
      <c r="C155" s="96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96"/>
      <c r="S155" s="96"/>
      <c r="T155" s="96"/>
      <c r="U155" s="96"/>
      <c r="V155" s="96"/>
    </row>
    <row r="156" spans="1:22">
      <c r="A156" s="96"/>
      <c r="B156" s="97"/>
      <c r="C156" s="96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96"/>
      <c r="S156" s="96"/>
      <c r="T156" s="96"/>
      <c r="U156" s="96"/>
      <c r="V156" s="96"/>
    </row>
    <row r="157" spans="1:22">
      <c r="A157" s="96"/>
      <c r="B157" s="97"/>
      <c r="C157" s="96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96"/>
      <c r="S157" s="96"/>
      <c r="T157" s="96"/>
      <c r="U157" s="96"/>
      <c r="V157" s="96"/>
    </row>
    <row r="158" spans="1:22">
      <c r="A158" s="96"/>
      <c r="B158" s="97"/>
      <c r="C158" s="96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96"/>
      <c r="S158" s="96"/>
      <c r="T158" s="96"/>
      <c r="U158" s="96"/>
      <c r="V158" s="96"/>
    </row>
    <row r="159" spans="1:22">
      <c r="A159" s="96"/>
      <c r="B159" s="97"/>
      <c r="C159" s="96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96"/>
      <c r="S159" s="96"/>
      <c r="T159" s="96"/>
      <c r="U159" s="96"/>
      <c r="V159" s="96"/>
    </row>
    <row r="160" spans="1:22">
      <c r="A160" s="96"/>
      <c r="B160" s="97"/>
      <c r="C160" s="96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96"/>
      <c r="S160" s="96"/>
      <c r="T160" s="96"/>
      <c r="U160" s="96"/>
      <c r="V160" s="96"/>
    </row>
    <row r="161" spans="1:22">
      <c r="A161" s="96"/>
      <c r="B161" s="97"/>
      <c r="C161" s="96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96"/>
      <c r="S161" s="96"/>
      <c r="T161" s="96"/>
      <c r="U161" s="96"/>
      <c r="V161" s="96"/>
    </row>
    <row r="162" spans="1:22">
      <c r="A162" s="96"/>
      <c r="B162" s="97"/>
      <c r="C162" s="96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96"/>
      <c r="S162" s="96"/>
      <c r="T162" s="96"/>
      <c r="U162" s="96"/>
      <c r="V162" s="96"/>
    </row>
    <row r="163" spans="1:22">
      <c r="A163" s="96"/>
      <c r="B163" s="97"/>
      <c r="C163" s="96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96"/>
      <c r="S163" s="96"/>
      <c r="T163" s="96"/>
      <c r="U163" s="96"/>
      <c r="V163" s="96"/>
    </row>
    <row r="164" spans="1:22">
      <c r="A164" s="96"/>
      <c r="B164" s="97"/>
      <c r="C164" s="96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96"/>
      <c r="S164" s="96"/>
      <c r="T164" s="96"/>
      <c r="U164" s="96"/>
      <c r="V164" s="96"/>
    </row>
    <row r="165" spans="1:22">
      <c r="A165" s="96"/>
      <c r="B165" s="97"/>
      <c r="C165" s="96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96"/>
      <c r="S165" s="96"/>
      <c r="T165" s="96"/>
      <c r="U165" s="96"/>
      <c r="V165" s="96"/>
    </row>
    <row r="166" spans="1:22">
      <c r="A166" s="96"/>
      <c r="B166" s="97"/>
      <c r="C166" s="96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96"/>
      <c r="S166" s="96"/>
      <c r="T166" s="96"/>
      <c r="U166" s="96"/>
      <c r="V166" s="96"/>
    </row>
    <row r="167" spans="1:22">
      <c r="A167" s="96"/>
      <c r="B167" s="97"/>
      <c r="C167" s="96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96"/>
      <c r="S167" s="96"/>
      <c r="T167" s="96"/>
      <c r="U167" s="96"/>
      <c r="V167" s="96"/>
    </row>
    <row r="168" spans="1:22">
      <c r="A168" s="96"/>
      <c r="B168" s="97"/>
      <c r="C168" s="96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96"/>
      <c r="S168" s="96"/>
      <c r="T168" s="96"/>
      <c r="U168" s="96"/>
      <c r="V168" s="96"/>
    </row>
    <row r="169" spans="1:22">
      <c r="A169" s="96"/>
      <c r="B169" s="97"/>
      <c r="C169" s="96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96"/>
      <c r="S169" s="96"/>
      <c r="T169" s="96"/>
      <c r="U169" s="96"/>
      <c r="V169" s="96"/>
    </row>
    <row r="170" spans="1:22">
      <c r="A170" s="96"/>
      <c r="B170" s="97"/>
      <c r="C170" s="96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96"/>
      <c r="S170" s="96"/>
      <c r="T170" s="96"/>
      <c r="U170" s="96"/>
      <c r="V170" s="96"/>
    </row>
    <row r="171" spans="1:22">
      <c r="A171" s="96"/>
      <c r="B171" s="97"/>
      <c r="C171" s="96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96"/>
      <c r="S171" s="96"/>
      <c r="T171" s="96"/>
      <c r="U171" s="96"/>
      <c r="V171" s="96"/>
    </row>
    <row r="172" spans="1:22">
      <c r="A172" s="96"/>
      <c r="B172" s="97"/>
      <c r="C172" s="96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96"/>
      <c r="S172" s="96"/>
      <c r="T172" s="96"/>
      <c r="U172" s="96"/>
      <c r="V172" s="96"/>
    </row>
    <row r="173" spans="1:22">
      <c r="A173" s="96"/>
      <c r="B173" s="97"/>
      <c r="C173" s="96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96"/>
      <c r="S173" s="96"/>
      <c r="T173" s="96"/>
      <c r="U173" s="96"/>
      <c r="V173" s="96"/>
    </row>
    <row r="174" spans="1:22">
      <c r="A174" s="96"/>
      <c r="B174" s="97"/>
      <c r="C174" s="96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96"/>
      <c r="S174" s="96"/>
      <c r="T174" s="96"/>
      <c r="U174" s="96"/>
      <c r="V174" s="96"/>
    </row>
    <row r="175" spans="1:22">
      <c r="A175" s="96"/>
      <c r="B175" s="97"/>
      <c r="C175" s="96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96"/>
      <c r="S175" s="96"/>
      <c r="T175" s="96"/>
      <c r="U175" s="96"/>
      <c r="V175" s="96"/>
    </row>
    <row r="176" spans="1:22">
      <c r="A176" s="96"/>
      <c r="B176" s="97"/>
      <c r="C176" s="96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96"/>
      <c r="S176" s="96"/>
      <c r="T176" s="96"/>
      <c r="U176" s="96"/>
      <c r="V176" s="96"/>
    </row>
    <row r="177" spans="1:22">
      <c r="A177" s="96"/>
      <c r="B177" s="97"/>
      <c r="C177" s="96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96"/>
      <c r="S177" s="96"/>
      <c r="T177" s="96"/>
      <c r="U177" s="96"/>
      <c r="V177" s="96"/>
    </row>
    <row r="178" spans="1:22">
      <c r="A178" s="96"/>
      <c r="B178" s="97"/>
      <c r="C178" s="96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96"/>
      <c r="S178" s="96"/>
      <c r="T178" s="96"/>
      <c r="U178" s="96"/>
      <c r="V178" s="96"/>
    </row>
    <row r="179" spans="1:22">
      <c r="A179" s="96"/>
      <c r="B179" s="97"/>
      <c r="C179" s="96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96"/>
      <c r="S179" s="96"/>
      <c r="T179" s="96"/>
      <c r="U179" s="96"/>
      <c r="V179" s="96"/>
    </row>
    <row r="180" spans="1:22">
      <c r="A180" s="96"/>
      <c r="B180" s="97"/>
      <c r="C180" s="96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96"/>
      <c r="S180" s="96"/>
      <c r="T180" s="96"/>
      <c r="U180" s="96"/>
      <c r="V180" s="96"/>
    </row>
    <row r="181" spans="1:22">
      <c r="A181" s="96"/>
      <c r="B181" s="97"/>
      <c r="C181" s="96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96"/>
      <c r="S181" s="96"/>
      <c r="T181" s="96"/>
      <c r="U181" s="96"/>
      <c r="V181" s="96"/>
    </row>
    <row r="182" spans="1:22">
      <c r="A182" s="96"/>
      <c r="B182" s="97"/>
      <c r="C182" s="96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96"/>
      <c r="S182" s="96"/>
      <c r="T182" s="96"/>
      <c r="U182" s="96"/>
      <c r="V182" s="96"/>
    </row>
    <row r="183" spans="1:22">
      <c r="A183" s="96"/>
      <c r="B183" s="97"/>
      <c r="C183" s="96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96"/>
      <c r="S183" s="96"/>
      <c r="T183" s="96"/>
      <c r="U183" s="96"/>
      <c r="V183" s="96"/>
    </row>
    <row r="184" spans="1:22">
      <c r="A184" s="96"/>
      <c r="B184" s="97"/>
      <c r="C184" s="96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96"/>
      <c r="S184" s="96"/>
      <c r="T184" s="96"/>
      <c r="U184" s="96"/>
      <c r="V184" s="96"/>
    </row>
    <row r="185" spans="1:22">
      <c r="A185" s="96"/>
      <c r="B185" s="97"/>
      <c r="C185" s="96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96"/>
      <c r="S185" s="96"/>
      <c r="T185" s="96"/>
      <c r="U185" s="96"/>
      <c r="V185" s="96"/>
    </row>
    <row r="186" spans="1:22">
      <c r="A186" s="96"/>
      <c r="B186" s="97"/>
      <c r="C186" s="96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96"/>
      <c r="S186" s="96"/>
      <c r="T186" s="96"/>
      <c r="U186" s="96"/>
      <c r="V186" s="96"/>
    </row>
  </sheetData>
  <mergeCells count="6">
    <mergeCell ref="B2:Q2"/>
    <mergeCell ref="B3:Q3"/>
    <mergeCell ref="F4:Q4"/>
    <mergeCell ref="B4:B5"/>
    <mergeCell ref="C4:C5"/>
    <mergeCell ref="D4:D5"/>
  </mergeCells>
  <pageMargins left="0.75" right="0.75" top="1" bottom="1" header="0.509027777777778" footer="0.509027777777778"/>
  <pageSetup paperSize="9" orientation="portrait"/>
  <headerFooter alignWithMargins="0" scaleWithDoc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7" tint="0.799768059327982"/>
  </sheetPr>
  <dimension ref="A2:HN24"/>
  <sheetViews>
    <sheetView showZeros="0" workbookViewId="0">
      <pane xSplit="4" ySplit="5" topLeftCell="E8" activePane="bottomRight" state="frozen"/>
      <selection/>
      <selection pane="topRight"/>
      <selection pane="bottomLeft"/>
      <selection pane="bottomRight" activeCell="P19" sqref="P19"/>
    </sheetView>
  </sheetViews>
  <sheetFormatPr defaultColWidth="9" defaultRowHeight="15"/>
  <cols>
    <col min="1" max="1" width="12.5" style="44" customWidth="1"/>
    <col min="2" max="2" width="11.9166666666667" style="44" customWidth="1"/>
    <col min="3" max="3" width="22.75" style="44" customWidth="1"/>
    <col min="4" max="4" width="10" style="46" customWidth="1"/>
    <col min="5" max="5" width="13" style="46" customWidth="1"/>
    <col min="6" max="6" width="9.41666666666667" style="46" customWidth="1"/>
    <col min="7" max="13" width="7.08333333333333" style="46" customWidth="1"/>
    <col min="14" max="17" width="8.25" style="46" customWidth="1"/>
    <col min="18" max="222" width="9" style="44" customWidth="1"/>
    <col min="223" max="16384" width="9" style="2"/>
  </cols>
  <sheetData>
    <row r="2" s="44" customFormat="1" ht="28.5" customHeight="1" spans="1:222">
      <c r="B2" s="71" t="s">
        <v>659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ht="14.25" customHeight="1" spans="1:222">
      <c r="B3" s="72" t="s">
        <v>639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</row>
    <row r="4" s="70" customFormat="1" ht="14.25" customHeight="1" spans="1:222">
      <c r="B4" s="74" t="s">
        <v>2</v>
      </c>
      <c r="C4" s="75" t="s">
        <v>282</v>
      </c>
      <c r="D4" s="75" t="s">
        <v>115</v>
      </c>
      <c r="E4" s="75" t="s">
        <v>75</v>
      </c>
      <c r="F4" s="75" t="s">
        <v>76</v>
      </c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="70" customFormat="1" ht="16.15" customHeight="1" spans="1:222">
      <c r="B5" s="74"/>
      <c r="C5" s="75"/>
      <c r="D5" s="75"/>
      <c r="E5" s="12" t="s">
        <v>77</v>
      </c>
      <c r="F5" s="13" t="s">
        <v>78</v>
      </c>
      <c r="G5" s="13" t="s">
        <v>79</v>
      </c>
      <c r="H5" s="13" t="s">
        <v>80</v>
      </c>
      <c r="I5" s="13" t="s">
        <v>81</v>
      </c>
      <c r="J5" s="13" t="s">
        <v>82</v>
      </c>
      <c r="K5" s="13" t="s">
        <v>83</v>
      </c>
      <c r="L5" s="13" t="s">
        <v>84</v>
      </c>
      <c r="M5" s="13" t="s">
        <v>85</v>
      </c>
      <c r="N5" s="13" t="s">
        <v>86</v>
      </c>
      <c r="O5" s="13" t="s">
        <v>87</v>
      </c>
      <c r="P5" s="13" t="s">
        <v>88</v>
      </c>
      <c r="Q5" s="13" t="s">
        <v>89</v>
      </c>
    </row>
    <row r="6" s="2" customFormat="1" ht="17.15" customHeight="1" spans="1:222">
      <c r="A6" s="44"/>
      <c r="B6" s="38">
        <v>1</v>
      </c>
      <c r="C6" s="38" t="s">
        <v>640</v>
      </c>
      <c r="D6" s="58">
        <f t="shared" ref="D6:D11" si="0">SUM(E6:Q6)</f>
        <v>43780.9366925312</v>
      </c>
      <c r="E6" s="58">
        <f>E7+E8+E9</f>
        <v>0</v>
      </c>
      <c r="F6" s="58">
        <f>F7+F8+F9</f>
        <v>5596.83852668852</v>
      </c>
      <c r="G6" s="58">
        <f t="shared" ref="F6:Y6" si="1">G7+G8+G9</f>
        <v>3552.74801003279</v>
      </c>
      <c r="H6" s="58">
        <f t="shared" si="1"/>
        <v>3512.66572216393</v>
      </c>
      <c r="I6" s="58">
        <f t="shared" si="1"/>
        <v>3483.27204439344</v>
      </c>
      <c r="J6" s="58">
        <f t="shared" si="1"/>
        <v>3449.87013783607</v>
      </c>
      <c r="K6" s="58">
        <f t="shared" si="1"/>
        <v>3425.82076511475</v>
      </c>
      <c r="L6" s="58">
        <f t="shared" si="1"/>
        <v>3396.42708734426</v>
      </c>
      <c r="M6" s="58">
        <f t="shared" si="1"/>
        <v>3375.04986714754</v>
      </c>
      <c r="N6" s="58">
        <f t="shared" si="1"/>
        <v>3345.65618937705</v>
      </c>
      <c r="O6" s="58">
        <f t="shared" si="1"/>
        <v>3328.28719796721</v>
      </c>
      <c r="P6" s="58">
        <f t="shared" si="1"/>
        <v>3302.90174898361</v>
      </c>
      <c r="Q6" s="58">
        <f t="shared" si="1"/>
        <v>4011.399395482</v>
      </c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</row>
    <row r="7" s="44" customFormat="1" ht="17.15" customHeight="1" spans="1:222">
      <c r="B7" s="38">
        <v>1.1</v>
      </c>
      <c r="C7" s="38" t="s">
        <v>617</v>
      </c>
      <c r="D7" s="58">
        <f t="shared" si="0"/>
        <v>43055.0700546229</v>
      </c>
      <c r="E7" s="58">
        <f>'表2-利润与利润分配表'!E23</f>
        <v>0</v>
      </c>
      <c r="F7" s="58">
        <f>'表2-利润与利润分配表'!F23</f>
        <v>5596.83852668852</v>
      </c>
      <c r="G7" s="58">
        <f>'表2-利润与利润分配表'!G23</f>
        <v>3552.74801003279</v>
      </c>
      <c r="H7" s="58">
        <f>'表2-利润与利润分配表'!H23</f>
        <v>3512.66572216393</v>
      </c>
      <c r="I7" s="58">
        <f>'表2-利润与利润分配表'!I23</f>
        <v>3483.27204439344</v>
      </c>
      <c r="J7" s="58">
        <f>'表2-利润与利润分配表'!J23</f>
        <v>3449.87013783607</v>
      </c>
      <c r="K7" s="58">
        <f>'表2-利润与利润分配表'!K23</f>
        <v>3425.82076511475</v>
      </c>
      <c r="L7" s="58">
        <f>'表2-利润与利润分配表'!L23</f>
        <v>3396.42708734426</v>
      </c>
      <c r="M7" s="58">
        <f>'表2-利润与利润分配表'!M23</f>
        <v>3375.04986714754</v>
      </c>
      <c r="N7" s="58">
        <f>'表2-利润与利润分配表'!N23</f>
        <v>3345.65618937705</v>
      </c>
      <c r="O7" s="58">
        <f>'表2-利润与利润分配表'!O23</f>
        <v>3328.28719796721</v>
      </c>
      <c r="P7" s="58">
        <f>'表2-利润与利润分配表'!P23</f>
        <v>3302.90174898361</v>
      </c>
      <c r="Q7" s="58">
        <f>'表2-利润与利润分配表'!Q23</f>
        <v>3285.53275757377</v>
      </c>
    </row>
    <row r="8" s="2" customFormat="1" ht="17.15" customHeight="1" spans="1:222">
      <c r="A8" s="44"/>
      <c r="B8" s="38">
        <v>1.3</v>
      </c>
      <c r="C8" s="38" t="s">
        <v>642</v>
      </c>
      <c r="D8" s="58">
        <f t="shared" si="0"/>
        <v>725.866637908234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46"/>
      <c r="P8" s="57"/>
      <c r="Q8" s="57">
        <f>'表3-项目现金流量表'!Q8</f>
        <v>725.866637908234</v>
      </c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</row>
    <row r="9" s="2" customFormat="1" ht="17.15" customHeight="1" spans="1:222">
      <c r="A9" s="44"/>
      <c r="B9" s="38">
        <v>1.4</v>
      </c>
      <c r="C9" s="38" t="s">
        <v>644</v>
      </c>
      <c r="D9" s="58">
        <f t="shared" si="0"/>
        <v>0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</row>
    <row r="10" s="2" customFormat="1" ht="17.15" customHeight="1" spans="1:222">
      <c r="A10" s="44"/>
      <c r="B10" s="38">
        <v>2</v>
      </c>
      <c r="C10" s="38" t="s">
        <v>645</v>
      </c>
      <c r="D10" s="58">
        <f t="shared" si="0"/>
        <v>40024.7026961927</v>
      </c>
      <c r="E10" s="58">
        <f>D11+E12+E13+E14+E15+E16+E17+E18</f>
        <v>3207.28274064</v>
      </c>
      <c r="F10" s="58">
        <f>F11+F12+F13+F14+F15+F16+F17+F18</f>
        <v>3157.4416375679</v>
      </c>
      <c r="G10" s="58">
        <f t="shared" ref="G10:Y10" si="2">G11+G12+G13+G14+G15+G16+G17+G18</f>
        <v>3141.83121407516</v>
      </c>
      <c r="H10" s="58">
        <f t="shared" si="2"/>
        <v>3137.92058194115</v>
      </c>
      <c r="I10" s="58">
        <f t="shared" si="2"/>
        <v>3390.59952391509</v>
      </c>
      <c r="J10" s="58">
        <f t="shared" si="2"/>
        <v>3382.71206597265</v>
      </c>
      <c r="K10" s="58">
        <f t="shared" si="2"/>
        <v>3375.51246550448</v>
      </c>
      <c r="L10" s="58">
        <f t="shared" si="2"/>
        <v>3375.35756923068</v>
      </c>
      <c r="M10" s="58">
        <f t="shared" si="2"/>
        <v>3374.08192744527</v>
      </c>
      <c r="N10" s="58">
        <f t="shared" si="2"/>
        <v>3374.06953767739</v>
      </c>
      <c r="O10" s="58">
        <f t="shared" si="2"/>
        <v>3376.49603455859</v>
      </c>
      <c r="P10" s="58">
        <f t="shared" si="2"/>
        <v>1869.67846749817</v>
      </c>
      <c r="Q10" s="58">
        <f t="shared" si="2"/>
        <v>1861.71893016614</v>
      </c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</row>
    <row r="11" s="2" customFormat="1" ht="17.15" customHeight="1" spans="1:222">
      <c r="A11" s="44"/>
      <c r="B11" s="38">
        <v>2.1</v>
      </c>
      <c r="C11" s="38" t="s">
        <v>660</v>
      </c>
      <c r="D11" s="58">
        <f t="shared" si="0"/>
        <v>3207.28274064</v>
      </c>
      <c r="E11" s="58">
        <f>'表1-投资计划与资金筹措表'!E10</f>
        <v>3207.28274064</v>
      </c>
      <c r="F11" s="76"/>
      <c r="G11" s="58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</row>
    <row r="12" s="2" customFormat="1" ht="17.15" customHeight="1" spans="1:222">
      <c r="A12" s="44"/>
      <c r="B12" s="38">
        <v>2.2</v>
      </c>
      <c r="C12" s="38" t="s">
        <v>661</v>
      </c>
      <c r="D12" s="58">
        <f>SUM(J12:Q12)</f>
        <v>8147.26915790914</v>
      </c>
      <c r="E12" s="58">
        <f>'表5-借款还本付息表'!E20</f>
        <v>0</v>
      </c>
      <c r="F12" s="58">
        <f>'表5-借款还本付息表'!F20</f>
        <v>1119.09159316805</v>
      </c>
      <c r="G12" s="58">
        <f>'表5-借款还本付息表'!G20</f>
        <v>1152.66434096309</v>
      </c>
      <c r="H12" s="58">
        <f>'表5-借款还本付息表'!H20</f>
        <v>1187.24427119198</v>
      </c>
      <c r="I12" s="58">
        <f>'表5-借款还本付息表'!I20</f>
        <v>1222.86159932774</v>
      </c>
      <c r="J12" s="58">
        <f>'表5-借款还本付息表'!J20</f>
        <v>1259.54744730757</v>
      </c>
      <c r="K12" s="58">
        <f>'表5-借款还本付息表'!K20</f>
        <v>1297.3338707268</v>
      </c>
      <c r="L12" s="58">
        <f>'表5-借款还本付息表'!L20</f>
        <v>1336.2538868486</v>
      </c>
      <c r="M12" s="58">
        <f>'表5-借款还本付息表'!M20</f>
        <v>1376.34150345406</v>
      </c>
      <c r="N12" s="58">
        <f>'表5-借款还本付息表'!N20</f>
        <v>1417.63174855768</v>
      </c>
      <c r="O12" s="58">
        <f>'表5-借款还本付息表'!O20</f>
        <v>1460.16070101441</v>
      </c>
      <c r="P12" s="58">
        <f>'表5-借款还本付息表'!P20</f>
        <v>-3.8198777474463e-13</v>
      </c>
      <c r="Q12" s="58">
        <f>'表5-借款还本付息表'!Q20</f>
        <v>-3.93447407986969e-13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</row>
    <row r="13" s="44" customFormat="1" ht="17.15" customHeight="1" spans="1:222">
      <c r="B13" s="38">
        <v>2.3</v>
      </c>
      <c r="C13" s="38" t="s">
        <v>662</v>
      </c>
      <c r="D13" s="58">
        <f t="shared" ref="D13:D19" si="3">SUM(E13:Q13)</f>
        <v>2210.52425788848</v>
      </c>
      <c r="E13" s="58">
        <f>'表5-借款还本付息表'!E19</f>
        <v>0</v>
      </c>
      <c r="F13" s="58">
        <f>'表5-借款还本付息表'!F19</f>
        <v>384.8739288768</v>
      </c>
      <c r="G13" s="58">
        <f>'表5-借款还本付息表'!G19</f>
        <v>351.301181081759</v>
      </c>
      <c r="H13" s="58">
        <f>'表5-借款还本付息表'!H19</f>
        <v>316.721250852866</v>
      </c>
      <c r="I13" s="58">
        <f>'表5-借款还本付息表'!I19</f>
        <v>281.103922717107</v>
      </c>
      <c r="J13" s="58">
        <f>'表5-借款还本付息表'!J19</f>
        <v>244.418074737274</v>
      </c>
      <c r="K13" s="58">
        <f>'表5-借款还本付息表'!K19</f>
        <v>206.631651318047</v>
      </c>
      <c r="L13" s="58">
        <f>'表5-借款还本付息表'!L19</f>
        <v>167.711635196243</v>
      </c>
      <c r="M13" s="58">
        <f>'表5-借款还本付息表'!M19</f>
        <v>127.624018590785</v>
      </c>
      <c r="N13" s="58">
        <f>'表5-借款还本付息表'!N19</f>
        <v>86.3337734871633</v>
      </c>
      <c r="O13" s="58">
        <f>'表5-借款还本付息表'!O19</f>
        <v>43.8048210304328</v>
      </c>
      <c r="P13" s="58">
        <f>'表5-借款还本付息表'!P19</f>
        <v>3.8198777474463e-13</v>
      </c>
      <c r="Q13" s="58">
        <f>'表5-借款还本付息表'!Q19</f>
        <v>3.93447407986969e-13</v>
      </c>
    </row>
    <row r="14" s="44" customFormat="1" ht="17.15" customHeight="1" spans="1:222">
      <c r="B14" s="38">
        <v>2.4</v>
      </c>
      <c r="C14" s="38" t="s">
        <v>648</v>
      </c>
      <c r="D14" s="58">
        <f t="shared" si="3"/>
        <v>19073.7905094689</v>
      </c>
      <c r="E14" s="58">
        <f>'表6-运营成本费用表'!E17</f>
        <v>0</v>
      </c>
      <c r="F14" s="58">
        <f>'表6-运营成本费用表'!F17</f>
        <v>1653.47611552305</v>
      </c>
      <c r="G14" s="58">
        <f>'表6-运营成本费用表'!G17</f>
        <v>1637.86569203031</v>
      </c>
      <c r="H14" s="58">
        <f>'表6-运营成本费用表'!H17</f>
        <v>1618.89996038799</v>
      </c>
      <c r="I14" s="58">
        <f>'表6-运营成本费用表'!I17</f>
        <v>1606.34247260462</v>
      </c>
      <c r="J14" s="58">
        <f>'表6-运营成本费用表'!J17</f>
        <v>1597.40476030995</v>
      </c>
      <c r="K14" s="58">
        <f>'表6-运营成本费用表'!K17</f>
        <v>1588.26137755427</v>
      </c>
      <c r="L14" s="58">
        <f>'表6-运营成本费用表'!L17</f>
        <v>1576.12408745628</v>
      </c>
      <c r="M14" s="58">
        <f>'表6-运营成本费用表'!M17</f>
        <v>1568.84219159657</v>
      </c>
      <c r="N14" s="58">
        <f>'表6-运营成本费用表'!N17</f>
        <v>1565.76181761517</v>
      </c>
      <c r="O14" s="58">
        <f>'表6-运营成本费用表'!O17</f>
        <v>1561.14329701668</v>
      </c>
      <c r="P14" s="58">
        <f>'表6-运营成本费用表'!P17</f>
        <v>1551.97949305226</v>
      </c>
      <c r="Q14" s="58">
        <f>'表6-运营成本费用表'!Q17</f>
        <v>1547.68924432171</v>
      </c>
    </row>
    <row r="15" s="44" customFormat="1" ht="17.15" customHeight="1" spans="1:222">
      <c r="B15" s="38">
        <v>2.5</v>
      </c>
      <c r="C15" s="38" t="s">
        <v>663</v>
      </c>
      <c r="D15" s="58">
        <f t="shared" si="3"/>
        <v>2210.76674296559</v>
      </c>
      <c r="E15" s="58">
        <f>'表2-利润与利润分配表'!E29</f>
        <v>0</v>
      </c>
      <c r="F15" s="58">
        <f>'表2-利润与利润分配表'!F29</f>
        <v>0</v>
      </c>
      <c r="G15" s="58">
        <f>'表2-利润与利润分配表'!G29</f>
        <v>0</v>
      </c>
      <c r="H15" s="58">
        <f>'表2-利润与利润分配表'!H29</f>
        <v>13.4420531324247</v>
      </c>
      <c r="I15" s="58">
        <f>'表2-利润与利润分配表'!I29</f>
        <v>249.195364312201</v>
      </c>
      <c r="J15" s="58">
        <f>'表2-利润与利润分配表'!J29</f>
        <v>247.608995982011</v>
      </c>
      <c r="K15" s="58">
        <f>'表2-利润与利润分配表'!K29</f>
        <v>246.466810784273</v>
      </c>
      <c r="L15" s="58">
        <f>'表2-利润与利润分配表'!L29</f>
        <v>245.070806653706</v>
      </c>
      <c r="M15" s="58">
        <f>'表2-利润与利润分配表'!M29</f>
        <v>244.055530922385</v>
      </c>
      <c r="N15" s="58">
        <f>'表2-利润与利润分配表'!N29</f>
        <v>242.659526791817</v>
      </c>
      <c r="O15" s="58">
        <f>'表2-利润与利润分配表'!O29</f>
        <v>241.834615260119</v>
      </c>
      <c r="P15" s="58">
        <f>'表2-利润与利润分配表'!P29</f>
        <v>240.628975329174</v>
      </c>
      <c r="Q15" s="58">
        <f>'表2-利润与利润分配表'!Q29</f>
        <v>239.804063797475</v>
      </c>
    </row>
    <row r="16" s="44" customFormat="1" ht="17.15" customHeight="1" spans="1:222">
      <c r="B16" s="38">
        <v>2.6</v>
      </c>
      <c r="C16" s="38" t="s">
        <v>623</v>
      </c>
      <c r="D16" s="58">
        <f t="shared" si="3"/>
        <v>265.29200915587</v>
      </c>
      <c r="E16" s="58">
        <f>'表2-利润与利润分配表'!E30</f>
        <v>0</v>
      </c>
      <c r="F16" s="58">
        <f>'表2-利润与利润分配表'!F30</f>
        <v>0</v>
      </c>
      <c r="G16" s="58">
        <f>'表2-利润与利润分配表'!G30</f>
        <v>0</v>
      </c>
      <c r="H16" s="58">
        <f>'表2-利润与利润分配表'!H30</f>
        <v>1.61304637589096</v>
      </c>
      <c r="I16" s="58">
        <f>'表2-利润与利润分配表'!I30</f>
        <v>29.9034437174641</v>
      </c>
      <c r="J16" s="58">
        <f>'表2-利润与利润分配表'!J30</f>
        <v>29.7130795178413</v>
      </c>
      <c r="K16" s="58">
        <f>'表2-利润与利润分配表'!K30</f>
        <v>29.5760172941128</v>
      </c>
      <c r="L16" s="58">
        <f>'表2-利润与利润分配表'!L30</f>
        <v>29.4084967984447</v>
      </c>
      <c r="M16" s="58">
        <f>'表2-利润与利润分配表'!M30</f>
        <v>29.2866637106862</v>
      </c>
      <c r="N16" s="58">
        <f>'表2-利润与利润分配表'!N30</f>
        <v>29.1191432150181</v>
      </c>
      <c r="O16" s="58">
        <f>'表2-利润与利润分配表'!O30</f>
        <v>29.0201538312143</v>
      </c>
      <c r="P16" s="58">
        <f>'表2-利润与利润分配表'!P30</f>
        <v>28.8754770395009</v>
      </c>
      <c r="Q16" s="58">
        <f>'表2-利润与利润分配表'!Q30</f>
        <v>28.776487655697</v>
      </c>
    </row>
    <row r="17" s="44" customFormat="1" ht="17.15" customHeight="1" spans="1:222">
      <c r="B17" s="38">
        <v>2.7</v>
      </c>
      <c r="C17" s="38" t="s">
        <v>664</v>
      </c>
      <c r="D17" s="58">
        <f t="shared" si="3"/>
        <v>227.915473513871</v>
      </c>
      <c r="E17" s="58">
        <f>'表2-利润与利润分配表'!E37</f>
        <v>0</v>
      </c>
      <c r="F17" s="58">
        <f>'表2-利润与利润分配表'!F37</f>
        <v>0</v>
      </c>
      <c r="G17" s="58">
        <f>'表2-利润与利润分配表'!G37</f>
        <v>0</v>
      </c>
      <c r="H17" s="58">
        <f>'表2-利润与利润分配表'!H37</f>
        <v>0</v>
      </c>
      <c r="I17" s="58">
        <f>'表2-利润与利润分配表'!I37</f>
        <v>1.19272123595153</v>
      </c>
      <c r="J17" s="58">
        <f>'表2-利润与利润分配表'!J37</f>
        <v>4.01970811800068</v>
      </c>
      <c r="K17" s="58">
        <f>'表2-利润与利润分配表'!K37</f>
        <v>7.24273782697718</v>
      </c>
      <c r="L17" s="58">
        <f>'表2-利润与利润分配表'!L37</f>
        <v>20.7886562774002</v>
      </c>
      <c r="M17" s="58">
        <f>'表2-利润与利润分配表'!M37</f>
        <v>27.9320191707834</v>
      </c>
      <c r="N17" s="58">
        <f>'表2-利润与利润分配表'!N37</f>
        <v>32.5635280105371</v>
      </c>
      <c r="O17" s="58">
        <f>'表2-利润与利润分配表'!O37</f>
        <v>40.5324464057283</v>
      </c>
      <c r="P17" s="58">
        <f>'表2-利润与利润分配表'!P37</f>
        <v>48.1945220772355</v>
      </c>
      <c r="Q17" s="58">
        <f>'表2-利润与利润分配表'!Q37</f>
        <v>45.4491343912572</v>
      </c>
    </row>
    <row r="18" s="2" customFormat="1" ht="17.15" customHeight="1" spans="1:222">
      <c r="A18" s="44"/>
      <c r="B18" s="38">
        <v>2.8</v>
      </c>
      <c r="C18" s="38" t="s">
        <v>649</v>
      </c>
      <c r="D18" s="58">
        <f t="shared" si="3"/>
        <v>0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>
        <f>'表1-投资计划与资金筹措表'!P10</f>
        <v>0</v>
      </c>
      <c r="Q18" s="57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</row>
    <row r="19" s="2" customFormat="1" ht="17.15" customHeight="1" spans="1:222">
      <c r="A19" s="44"/>
      <c r="B19" s="38">
        <v>3</v>
      </c>
      <c r="C19" s="38" t="s">
        <v>665</v>
      </c>
      <c r="D19" s="58">
        <f t="shared" si="3"/>
        <v>3756.23399633852</v>
      </c>
      <c r="E19" s="77">
        <f t="shared" ref="E19:Y19" si="4">E6-E10</f>
        <v>-3207.28274064</v>
      </c>
      <c r="F19" s="77">
        <f t="shared" si="4"/>
        <v>2439.39688912062</v>
      </c>
      <c r="G19" s="77">
        <f t="shared" si="4"/>
        <v>410.916795957629</v>
      </c>
      <c r="H19" s="77">
        <f t="shared" si="4"/>
        <v>374.745140222783</v>
      </c>
      <c r="I19" s="77">
        <f t="shared" si="4"/>
        <v>92.6725204783547</v>
      </c>
      <c r="J19" s="77">
        <f t="shared" si="4"/>
        <v>67.1580718634159</v>
      </c>
      <c r="K19" s="77">
        <f t="shared" si="4"/>
        <v>50.3082996102739</v>
      </c>
      <c r="L19" s="77">
        <f t="shared" si="4"/>
        <v>21.0695181135802</v>
      </c>
      <c r="M19" s="77">
        <f t="shared" si="4"/>
        <v>0.967939702271451</v>
      </c>
      <c r="N19" s="77">
        <f t="shared" si="4"/>
        <v>-28.4133483003397</v>
      </c>
      <c r="O19" s="77">
        <f t="shared" si="4"/>
        <v>-48.2088365913719</v>
      </c>
      <c r="P19" s="77">
        <f t="shared" si="4"/>
        <v>1433.22328148544</v>
      </c>
      <c r="Q19" s="77">
        <f t="shared" si="4"/>
        <v>2149.68046531586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</row>
    <row r="20" s="2" customFormat="1" spans="1:222">
      <c r="A20" s="44"/>
      <c r="B20" s="44"/>
      <c r="C20" s="44"/>
      <c r="D20" s="78"/>
      <c r="E20" s="79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</row>
    <row r="21" s="2" customFormat="1" ht="15.75" spans="1:222">
      <c r="A21" s="44"/>
      <c r="B21" s="44"/>
      <c r="C21" s="44"/>
      <c r="D21" s="78"/>
      <c r="E21" s="80" t="s">
        <v>666</v>
      </c>
      <c r="F21" s="80" t="s">
        <v>667</v>
      </c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/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/>
      <c r="FJ21" s="44"/>
      <c r="FK21" s="44"/>
      <c r="FL21" s="44"/>
      <c r="FM21" s="44"/>
      <c r="FN21" s="44"/>
      <c r="FO21" s="44"/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/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  <c r="HA21" s="44"/>
      <c r="HB21" s="44"/>
      <c r="HC21" s="44"/>
      <c r="HD21" s="44"/>
      <c r="HE21" s="44"/>
      <c r="HF21" s="44"/>
      <c r="HG21" s="44"/>
      <c r="HH21" s="44"/>
      <c r="HI21" s="44"/>
      <c r="HJ21" s="44"/>
      <c r="HK21" s="44"/>
      <c r="HL21" s="44"/>
      <c r="HM21" s="44"/>
      <c r="HN21" s="44"/>
    </row>
    <row r="22" s="2" customFormat="1" ht="15.75" spans="1:222">
      <c r="A22" s="81" t="s">
        <v>294</v>
      </c>
      <c r="B22" s="82"/>
      <c r="C22" s="83" t="s">
        <v>668</v>
      </c>
      <c r="D22" s="84">
        <f>IRR(E19:Q19)</f>
        <v>0.179673272016877</v>
      </c>
      <c r="E22" s="85">
        <f>SUM('表2-利润与利润分配表'!F34:O34)</f>
        <v>2386.18438410235</v>
      </c>
      <c r="F22" s="85">
        <f>E22/10</f>
        <v>238.618438410235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  <c r="EN22" s="44"/>
      <c r="EO22" s="44"/>
      <c r="EP22" s="44"/>
      <c r="EQ22" s="44"/>
      <c r="ER22" s="44"/>
      <c r="ES22" s="44"/>
      <c r="ET22" s="44"/>
      <c r="EU22" s="44"/>
      <c r="EV22" s="44"/>
      <c r="EW22" s="44"/>
      <c r="EX22" s="44"/>
      <c r="EY22" s="44"/>
      <c r="EZ22" s="44"/>
      <c r="FA22" s="44"/>
      <c r="FB22" s="44"/>
      <c r="FC22" s="44"/>
      <c r="FD22" s="44"/>
      <c r="FE22" s="44"/>
      <c r="FF22" s="44"/>
      <c r="FG22" s="44"/>
      <c r="FH22" s="44"/>
      <c r="FI22" s="44"/>
      <c r="FJ22" s="44"/>
      <c r="FK22" s="44"/>
      <c r="FL22" s="44"/>
      <c r="FM22" s="44"/>
      <c r="FN22" s="44"/>
      <c r="FO22" s="44"/>
      <c r="FP22" s="44"/>
      <c r="FQ22" s="44"/>
      <c r="FR22" s="44"/>
      <c r="FS22" s="44"/>
      <c r="FT22" s="44"/>
      <c r="FU22" s="44"/>
      <c r="FV22" s="44"/>
      <c r="FW22" s="44"/>
      <c r="FX22" s="44"/>
      <c r="FY22" s="44"/>
      <c r="FZ22" s="44"/>
      <c r="GA22" s="44"/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/>
      <c r="GN22" s="44"/>
      <c r="GO22" s="44"/>
      <c r="GP22" s="44"/>
      <c r="GQ22" s="44"/>
      <c r="GR22" s="44"/>
      <c r="GS22" s="44"/>
      <c r="GT22" s="44"/>
      <c r="GU22" s="44"/>
      <c r="GV22" s="44"/>
      <c r="GW22" s="44"/>
      <c r="GX22" s="44"/>
      <c r="GY22" s="44"/>
      <c r="GZ22" s="44"/>
      <c r="HA22" s="44"/>
      <c r="HB22" s="44"/>
      <c r="HC22" s="44"/>
      <c r="HD22" s="44"/>
      <c r="HE22" s="44"/>
      <c r="HF22" s="44"/>
      <c r="HG22" s="44"/>
      <c r="HH22" s="44"/>
      <c r="HI22" s="44"/>
      <c r="HJ22" s="44"/>
      <c r="HK22" s="44"/>
      <c r="HL22" s="44"/>
      <c r="HM22" s="44"/>
      <c r="HN22" s="44"/>
    </row>
    <row r="23" spans="1:222">
      <c r="A23" s="81" t="s">
        <v>296</v>
      </c>
      <c r="B23" s="82"/>
      <c r="C23" s="81"/>
      <c r="D23" s="86"/>
      <c r="E23" s="85"/>
      <c r="F23" s="85"/>
    </row>
    <row r="24" spans="1:222">
      <c r="A24" s="87"/>
      <c r="B24" s="82"/>
      <c r="C24" s="81"/>
      <c r="D24" s="88"/>
      <c r="E24" s="85"/>
      <c r="F24" s="85"/>
    </row>
  </sheetData>
  <mergeCells count="6">
    <mergeCell ref="B2:Q2"/>
    <mergeCell ref="B3:Q3"/>
    <mergeCell ref="F4:Q4"/>
    <mergeCell ref="B4:B5"/>
    <mergeCell ref="C4:C5"/>
    <mergeCell ref="D4:D5"/>
  </mergeCells>
  <pageMargins left="0.75" right="0.75" top="1" bottom="1" header="0.509027777777778" footer="0.509027777777778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theme="7" tint="0.799768059327982"/>
  </sheetPr>
  <dimension ref="A3:HU20"/>
  <sheetViews>
    <sheetView workbookViewId="0">
      <pane xSplit="4" ySplit="5" topLeftCell="E6" activePane="bottomRight" state="frozen"/>
      <selection/>
      <selection pane="topRight"/>
      <selection pane="bottomLeft"/>
      <selection pane="bottomRight" activeCell="J17" sqref="J17"/>
    </sheetView>
  </sheetViews>
  <sheetFormatPr defaultColWidth="8.58333333333333" defaultRowHeight="15"/>
  <cols>
    <col min="1" max="1" width="9" style="44" customWidth="1"/>
    <col min="2" max="2" width="6" style="44" customWidth="1"/>
    <col min="3" max="3" width="18.25" style="44" customWidth="1"/>
    <col min="4" max="4" width="10.25" style="46" customWidth="1"/>
    <col min="5" max="17" width="9.25" style="46" customWidth="1"/>
    <col min="18" max="206" width="8.58333333333333" style="44" customWidth="1"/>
    <col min="207" max="221" width="9" style="44" customWidth="1"/>
    <col min="222" max="16384" width="8.58333333333333" style="2"/>
  </cols>
  <sheetData>
    <row r="3" ht="21.75" spans="1:229">
      <c r="B3" s="47" t="s">
        <v>669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="43" customFormat="1" ht="16.15" customHeight="1" spans="1:229">
      <c r="B4" s="48" t="s">
        <v>2</v>
      </c>
      <c r="C4" s="49" t="s">
        <v>282</v>
      </c>
      <c r="D4" s="50" t="s">
        <v>115</v>
      </c>
      <c r="E4" s="50" t="s">
        <v>75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="43" customFormat="1" ht="16.15" customHeight="1" spans="1:229">
      <c r="B5" s="52"/>
      <c r="C5" s="53"/>
      <c r="D5" s="51"/>
      <c r="E5" s="12" t="s">
        <v>77</v>
      </c>
      <c r="F5" s="12" t="s">
        <v>78</v>
      </c>
      <c r="G5" s="12" t="s">
        <v>79</v>
      </c>
      <c r="H5" s="12" t="s">
        <v>80</v>
      </c>
      <c r="I5" s="12" t="s">
        <v>81</v>
      </c>
      <c r="J5" s="12" t="s">
        <v>82</v>
      </c>
      <c r="K5" s="12" t="s">
        <v>83</v>
      </c>
      <c r="L5" s="12" t="s">
        <v>84</v>
      </c>
      <c r="M5" s="12" t="s">
        <v>85</v>
      </c>
      <c r="N5" s="12" t="s">
        <v>86</v>
      </c>
      <c r="O5" s="12" t="s">
        <v>87</v>
      </c>
      <c r="P5" s="12" t="s">
        <v>88</v>
      </c>
      <c r="Q5" s="12" t="s">
        <v>89</v>
      </c>
    </row>
    <row r="6" s="2" customFormat="1" ht="18" customHeight="1" spans="1:229">
      <c r="A6" s="44"/>
      <c r="B6" s="54">
        <v>1</v>
      </c>
      <c r="C6" s="37" t="s">
        <v>670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</row>
    <row r="7" s="2" customFormat="1" ht="18" customHeight="1" spans="1:229">
      <c r="A7" s="44"/>
      <c r="B7" s="56"/>
      <c r="C7" s="38" t="s">
        <v>671</v>
      </c>
      <c r="D7" s="57" t="s">
        <v>62</v>
      </c>
      <c r="E7" s="57"/>
      <c r="F7" s="57">
        <f>E8</f>
        <v>12829.13096256</v>
      </c>
      <c r="G7" s="58">
        <f>F14</f>
        <v>11710.039369392</v>
      </c>
      <c r="H7" s="58">
        <f t="shared" ref="H7:T7" si="0">G14</f>
        <v>10557.3750284289</v>
      </c>
      <c r="I7" s="58">
        <f t="shared" si="0"/>
        <v>9370.13075723689</v>
      </c>
      <c r="J7" s="58">
        <f t="shared" si="0"/>
        <v>8147.26915790915</v>
      </c>
      <c r="K7" s="58">
        <f t="shared" si="0"/>
        <v>6887.72171060157</v>
      </c>
      <c r="L7" s="58">
        <f t="shared" si="0"/>
        <v>5590.38783987477</v>
      </c>
      <c r="M7" s="58">
        <f t="shared" si="0"/>
        <v>4254.13395302617</v>
      </c>
      <c r="N7" s="58">
        <f t="shared" si="0"/>
        <v>2877.79244957211</v>
      </c>
      <c r="O7" s="58">
        <f t="shared" si="0"/>
        <v>1460.16070101443</v>
      </c>
      <c r="P7" s="58">
        <f t="shared" si="0"/>
        <v>1.2732925824821e-11</v>
      </c>
      <c r="Q7" s="58">
        <f t="shared" si="0"/>
        <v>1.31149135995656e-11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  <c r="EY7" s="44"/>
      <c r="EZ7" s="44"/>
      <c r="FA7" s="44"/>
      <c r="FB7" s="44"/>
      <c r="FC7" s="44"/>
      <c r="FD7" s="44"/>
      <c r="FE7" s="44"/>
      <c r="FF7" s="44"/>
      <c r="FG7" s="44"/>
      <c r="FH7" s="44"/>
      <c r="FI7" s="44"/>
      <c r="FJ7" s="44"/>
      <c r="FK7" s="44"/>
      <c r="FL7" s="44"/>
      <c r="FM7" s="44"/>
      <c r="FN7" s="44"/>
      <c r="FO7" s="44"/>
      <c r="FP7" s="44"/>
      <c r="FQ7" s="44"/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</row>
    <row r="8" s="2" customFormat="1" ht="18" customHeight="1" spans="1:229">
      <c r="A8" s="44"/>
      <c r="B8" s="56"/>
      <c r="C8" s="38" t="s">
        <v>672</v>
      </c>
      <c r="D8" s="58">
        <f>SUM(E8:Q8)</f>
        <v>12829.13096256</v>
      </c>
      <c r="E8" s="57">
        <f>'表1-投资计划与资金筹措表'!E11</f>
        <v>12829.13096256</v>
      </c>
      <c r="F8" s="59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</row>
    <row r="9" s="2" customFormat="1" ht="18" customHeight="1" spans="1:229">
      <c r="A9" s="44"/>
      <c r="B9" s="56"/>
      <c r="C9" s="38" t="s">
        <v>673</v>
      </c>
      <c r="D9" s="58">
        <f>SUM(E9:Q9)</f>
        <v>2210.52425788848</v>
      </c>
      <c r="E9" s="57"/>
      <c r="F9" s="57">
        <f>F7*F12</f>
        <v>384.8739288768</v>
      </c>
      <c r="G9" s="57">
        <f t="shared" ref="G9:T9" si="1">G7*G12</f>
        <v>351.301181081759</v>
      </c>
      <c r="H9" s="57">
        <f t="shared" si="1"/>
        <v>316.721250852866</v>
      </c>
      <c r="I9" s="57">
        <f t="shared" si="1"/>
        <v>281.103922717107</v>
      </c>
      <c r="J9" s="57">
        <f t="shared" si="1"/>
        <v>244.418074737274</v>
      </c>
      <c r="K9" s="57">
        <f t="shared" si="1"/>
        <v>206.631651318047</v>
      </c>
      <c r="L9" s="57">
        <f t="shared" si="1"/>
        <v>167.711635196243</v>
      </c>
      <c r="M9" s="57">
        <f t="shared" si="1"/>
        <v>127.624018590785</v>
      </c>
      <c r="N9" s="57">
        <f t="shared" si="1"/>
        <v>86.3337734871633</v>
      </c>
      <c r="O9" s="57">
        <f t="shared" si="1"/>
        <v>43.8048210304328</v>
      </c>
      <c r="P9" s="57">
        <f t="shared" si="1"/>
        <v>3.8198777474463e-13</v>
      </c>
      <c r="Q9" s="57">
        <f t="shared" si="1"/>
        <v>3.93447407986969e-13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</row>
    <row r="10" s="2" customFormat="1" ht="18" customHeight="1" spans="1:229">
      <c r="A10" s="44"/>
      <c r="B10" s="56"/>
      <c r="C10" s="38" t="s">
        <v>674</v>
      </c>
      <c r="D10" s="58">
        <f>SUM(E10:Q10)</f>
        <v>15039.6552204485</v>
      </c>
      <c r="E10" s="57"/>
      <c r="F10" s="57">
        <f>IF(输入参数!E19="等额本金",SUM(F9,F11),'表1-投资计划与资金筹措表'!E11*输入参数!E20*(1+输入参数!E20)^10/((1+输入参数!E20)^10-1))</f>
        <v>1503.96552204485</v>
      </c>
      <c r="G10" s="57">
        <f>IF(输入参数!E19="等额本金",G9+G11,F10)</f>
        <v>1503.96552204485</v>
      </c>
      <c r="H10" s="57">
        <f>IF(输入参数!E19="等额本金",H9+H11,F10)</f>
        <v>1503.96552204485</v>
      </c>
      <c r="I10" s="57">
        <f>IF(输入参数!E19="等额本金",I9+I11,F10)</f>
        <v>1503.96552204485</v>
      </c>
      <c r="J10" s="57">
        <f>IF(输入参数!E19="等额本金",J9+J11,F10)</f>
        <v>1503.96552204485</v>
      </c>
      <c r="K10" s="57">
        <f>IF(输入参数!E19="等额本金",K9+K11,F10)</f>
        <v>1503.96552204485</v>
      </c>
      <c r="L10" s="57">
        <f>IF(输入参数!E19="等额本金",L9+L11,F10)</f>
        <v>1503.96552204485</v>
      </c>
      <c r="M10" s="57">
        <f>IF(输入参数!E19="等额本金",M9+M11,F10)</f>
        <v>1503.96552204485</v>
      </c>
      <c r="N10" s="57">
        <f>IF(输入参数!E19="等额本金",N9+N11,F10)</f>
        <v>1503.96552204485</v>
      </c>
      <c r="O10" s="57">
        <f>IF(输入参数!E19="等额本金",O9+O11,F10)</f>
        <v>1503.96552204485</v>
      </c>
      <c r="P10" s="57">
        <f>$O$8*输入参数!E20*(1+输入参数!E20)^10/((1+输入参数!E20)^10-1)</f>
        <v>0</v>
      </c>
      <c r="Q10" s="57">
        <f>$P$10</f>
        <v>0</v>
      </c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</row>
    <row r="11" s="44" customFormat="1" ht="18" customHeight="1" spans="1:229">
      <c r="B11" s="56"/>
      <c r="C11" s="38" t="s">
        <v>675</v>
      </c>
      <c r="D11" s="58">
        <f>SUM(E11:Q11)</f>
        <v>12829.13096256</v>
      </c>
      <c r="E11" s="57"/>
      <c r="F11" s="57">
        <f>IF(输入参数!E19="等额本金",'表1-投资计划与资金筹措表'!D11/10,F10-F9)</f>
        <v>1119.09159316805</v>
      </c>
      <c r="G11" s="57">
        <f>IF(输入参数!E19="等额本金",F11,G10-G9)</f>
        <v>1152.66434096309</v>
      </c>
      <c r="H11" s="57">
        <f>IF(输入参数!E19="等额本金",F11,H10-H9)</f>
        <v>1187.24427119198</v>
      </c>
      <c r="I11" s="57">
        <f>IF(输入参数!E19="等额本金",F11,I10-I9)</f>
        <v>1222.86159932774</v>
      </c>
      <c r="J11" s="57">
        <f>IF(输入参数!E19="等额本金",F11,J10-J9)</f>
        <v>1259.54744730757</v>
      </c>
      <c r="K11" s="57">
        <f>IF(输入参数!E19="等额本金",F11,K10-K9)</f>
        <v>1297.3338707268</v>
      </c>
      <c r="L11" s="57">
        <f>IF(输入参数!E19="等额本金",F11,L10-L9)</f>
        <v>1336.2538868486</v>
      </c>
      <c r="M11" s="57">
        <f>IF(输入参数!E19="等额本金",F11,M10-M9)</f>
        <v>1376.34150345406</v>
      </c>
      <c r="N11" s="57">
        <f>IF(输入参数!E19="等额本金",F11,N10-N9)</f>
        <v>1417.63174855768</v>
      </c>
      <c r="O11" s="57">
        <f>IF(输入参数!E19="等额本金",F11,O10-O9)</f>
        <v>1460.16070101441</v>
      </c>
      <c r="P11" s="57">
        <f>IF(输入参数!F19="等额本金",G11,P10-P9)</f>
        <v>-3.8198777474463e-13</v>
      </c>
      <c r="Q11" s="57">
        <f>IF(输入参数!G19="等额本金",H11,Q10-Q9)</f>
        <v>-3.93447407986969e-13</v>
      </c>
      <c r="HN11" s="2"/>
      <c r="HO11" s="2"/>
      <c r="HP11" s="2"/>
      <c r="HQ11" s="2"/>
      <c r="HR11" s="2"/>
      <c r="HS11" s="2"/>
      <c r="HT11" s="2"/>
      <c r="HU11" s="2"/>
    </row>
    <row r="12" s="45" customFormat="1" ht="18" customHeight="1" spans="1:229">
      <c r="A12" s="44"/>
      <c r="B12" s="60"/>
      <c r="C12" s="61" t="s">
        <v>676</v>
      </c>
      <c r="D12" s="62">
        <f>输入参数!E20</f>
        <v>0.03</v>
      </c>
      <c r="E12" s="62"/>
      <c r="F12" s="62">
        <f>D12</f>
        <v>0.03</v>
      </c>
      <c r="G12" s="62">
        <f>F12</f>
        <v>0.03</v>
      </c>
      <c r="H12" s="62">
        <f t="shared" ref="H12:T12" si="2">G12</f>
        <v>0.03</v>
      </c>
      <c r="I12" s="62">
        <f t="shared" si="2"/>
        <v>0.03</v>
      </c>
      <c r="J12" s="62">
        <f t="shared" si="2"/>
        <v>0.03</v>
      </c>
      <c r="K12" s="62">
        <f t="shared" si="2"/>
        <v>0.03</v>
      </c>
      <c r="L12" s="62">
        <f t="shared" si="2"/>
        <v>0.03</v>
      </c>
      <c r="M12" s="62">
        <f t="shared" si="2"/>
        <v>0.03</v>
      </c>
      <c r="N12" s="62">
        <f t="shared" si="2"/>
        <v>0.03</v>
      </c>
      <c r="O12" s="62">
        <f t="shared" si="2"/>
        <v>0.03</v>
      </c>
      <c r="P12" s="62">
        <f t="shared" si="2"/>
        <v>0.03</v>
      </c>
      <c r="Q12" s="62">
        <f t="shared" si="2"/>
        <v>0.03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2"/>
      <c r="HO12" s="2"/>
      <c r="HP12" s="2"/>
      <c r="HQ12" s="2"/>
      <c r="HR12" s="2"/>
      <c r="HS12" s="2"/>
      <c r="HT12" s="2"/>
      <c r="HU12" s="2"/>
    </row>
    <row r="13" s="44" customFormat="1" ht="18" customHeight="1" spans="1:229">
      <c r="B13" s="56"/>
      <c r="C13" s="38" t="s">
        <v>677</v>
      </c>
      <c r="D13" s="58">
        <f>SUM(E13:Q13)</f>
        <v>2210.52425788848</v>
      </c>
      <c r="E13" s="63"/>
      <c r="F13" s="57">
        <f t="shared" ref="F13:Q13" si="3">F9</f>
        <v>384.8739288768</v>
      </c>
      <c r="G13" s="57">
        <f t="shared" si="3"/>
        <v>351.301181081759</v>
      </c>
      <c r="H13" s="57">
        <f t="shared" si="3"/>
        <v>316.721250852866</v>
      </c>
      <c r="I13" s="57">
        <f t="shared" si="3"/>
        <v>281.103922717107</v>
      </c>
      <c r="J13" s="57">
        <f t="shared" si="3"/>
        <v>244.418074737274</v>
      </c>
      <c r="K13" s="57">
        <f t="shared" si="3"/>
        <v>206.631651318047</v>
      </c>
      <c r="L13" s="57">
        <f t="shared" si="3"/>
        <v>167.711635196243</v>
      </c>
      <c r="M13" s="57">
        <f t="shared" si="3"/>
        <v>127.624018590785</v>
      </c>
      <c r="N13" s="57">
        <f t="shared" si="3"/>
        <v>86.3337734871633</v>
      </c>
      <c r="O13" s="57">
        <f t="shared" si="3"/>
        <v>43.8048210304328</v>
      </c>
      <c r="P13" s="57">
        <f t="shared" si="3"/>
        <v>3.8198777474463e-13</v>
      </c>
      <c r="Q13" s="57">
        <f t="shared" si="3"/>
        <v>3.93447407986969e-13</v>
      </c>
      <c r="HN13" s="2"/>
      <c r="HO13" s="2"/>
      <c r="HP13" s="2"/>
      <c r="HQ13" s="2"/>
      <c r="HR13" s="2"/>
      <c r="HS13" s="2"/>
      <c r="HT13" s="2"/>
      <c r="HU13" s="2"/>
    </row>
    <row r="14" s="2" customFormat="1" ht="18" customHeight="1" spans="1:229">
      <c r="A14" s="44"/>
      <c r="B14" s="56"/>
      <c r="C14" s="38" t="s">
        <v>678</v>
      </c>
      <c r="D14" s="64"/>
      <c r="E14" s="57">
        <f t="shared" ref="E14:Q14" si="4">E7+E8-E11</f>
        <v>12829.13096256</v>
      </c>
      <c r="F14" s="57">
        <f t="shared" si="4"/>
        <v>11710.039369392</v>
      </c>
      <c r="G14" s="57">
        <f t="shared" si="4"/>
        <v>10557.3750284289</v>
      </c>
      <c r="H14" s="57">
        <f t="shared" si="4"/>
        <v>9370.13075723689</v>
      </c>
      <c r="I14" s="57">
        <f t="shared" si="4"/>
        <v>8147.26915790915</v>
      </c>
      <c r="J14" s="57">
        <f t="shared" si="4"/>
        <v>6887.72171060157</v>
      </c>
      <c r="K14" s="57">
        <f t="shared" si="4"/>
        <v>5590.38783987477</v>
      </c>
      <c r="L14" s="57">
        <f t="shared" si="4"/>
        <v>4254.13395302617</v>
      </c>
      <c r="M14" s="57">
        <f t="shared" si="4"/>
        <v>2877.79244957211</v>
      </c>
      <c r="N14" s="57">
        <f t="shared" si="4"/>
        <v>1460.16070101443</v>
      </c>
      <c r="O14" s="57">
        <f t="shared" si="4"/>
        <v>1.2732925824821e-11</v>
      </c>
      <c r="P14" s="57">
        <f t="shared" si="4"/>
        <v>1.31149135995656e-11</v>
      </c>
      <c r="Q14" s="57">
        <f t="shared" si="4"/>
        <v>1.35083610075526e-11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</row>
    <row r="15" s="2" customFormat="1" ht="18" customHeight="1" spans="1:229">
      <c r="A15" s="44"/>
      <c r="B15" s="54">
        <v>2</v>
      </c>
      <c r="C15" s="37" t="s">
        <v>679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</row>
    <row r="16" s="2" customFormat="1" ht="18" customHeight="1" spans="1:229">
      <c r="A16" s="44"/>
      <c r="B16" s="56">
        <v>2.1</v>
      </c>
      <c r="C16" s="38" t="s">
        <v>680</v>
      </c>
      <c r="D16" s="64">
        <f>SUM(E16:Q16)</f>
        <v>0</v>
      </c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</row>
    <row r="17" s="44" customFormat="1" ht="18" customHeight="1" spans="2:229">
      <c r="B17" s="56">
        <v>2.2</v>
      </c>
      <c r="C17" s="38" t="s">
        <v>681</v>
      </c>
      <c r="D17" s="64">
        <f>SUM(E17:Q17)</f>
        <v>0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2"/>
      <c r="HO17" s="2"/>
      <c r="HP17" s="2"/>
      <c r="HQ17" s="2"/>
      <c r="HR17" s="2"/>
      <c r="HS17" s="2"/>
      <c r="HT17" s="2"/>
      <c r="HU17" s="2"/>
    </row>
    <row r="18" s="44" customFormat="1" ht="18" customHeight="1" spans="2:229">
      <c r="B18" s="56">
        <v>2.3</v>
      </c>
      <c r="C18" s="38" t="s">
        <v>682</v>
      </c>
      <c r="D18" s="64">
        <f>SUM(E18:Q18)</f>
        <v>0</v>
      </c>
      <c r="E18" s="64"/>
      <c r="F18" s="63"/>
      <c r="G18" s="63"/>
      <c r="H18" s="63"/>
      <c r="I18" s="65"/>
      <c r="J18" s="65"/>
      <c r="K18" s="65"/>
      <c r="L18" s="65"/>
      <c r="M18" s="65"/>
      <c r="N18" s="65"/>
      <c r="O18" s="65"/>
      <c r="P18" s="65"/>
      <c r="Q18" s="65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/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/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2"/>
      <c r="HO18" s="2"/>
      <c r="HP18" s="2"/>
      <c r="HQ18" s="2"/>
      <c r="HR18" s="2"/>
      <c r="HS18" s="2"/>
      <c r="HT18" s="2"/>
      <c r="HU18" s="2"/>
    </row>
    <row r="19" s="44" customFormat="1" spans="2:229">
      <c r="B19" s="54" t="s">
        <v>683</v>
      </c>
      <c r="C19" s="37"/>
      <c r="D19" s="58">
        <f>SUM(E19:Q19)</f>
        <v>2210.52425788848</v>
      </c>
      <c r="E19" s="64">
        <f t="shared" ref="E19:AI19" si="5">E13+E17</f>
        <v>0</v>
      </c>
      <c r="F19" s="58">
        <f t="shared" si="5"/>
        <v>384.8739288768</v>
      </c>
      <c r="G19" s="58">
        <f t="shared" si="5"/>
        <v>351.301181081759</v>
      </c>
      <c r="H19" s="58">
        <f t="shared" si="5"/>
        <v>316.721250852866</v>
      </c>
      <c r="I19" s="58">
        <f t="shared" si="5"/>
        <v>281.103922717107</v>
      </c>
      <c r="J19" s="58">
        <f t="shared" si="5"/>
        <v>244.418074737274</v>
      </c>
      <c r="K19" s="58">
        <f t="shared" si="5"/>
        <v>206.631651318047</v>
      </c>
      <c r="L19" s="58">
        <f t="shared" si="5"/>
        <v>167.711635196243</v>
      </c>
      <c r="M19" s="58">
        <f t="shared" si="5"/>
        <v>127.624018590785</v>
      </c>
      <c r="N19" s="58">
        <f t="shared" si="5"/>
        <v>86.3337734871633</v>
      </c>
      <c r="O19" s="58">
        <f t="shared" si="5"/>
        <v>43.8048210304328</v>
      </c>
      <c r="P19" s="58">
        <f t="shared" si="5"/>
        <v>3.8198777474463e-13</v>
      </c>
      <c r="Q19" s="58">
        <f t="shared" si="5"/>
        <v>3.93447407986969e-13</v>
      </c>
    </row>
    <row r="20" ht="15.75" spans="2:229">
      <c r="B20" s="66" t="s">
        <v>684</v>
      </c>
      <c r="C20" s="67"/>
      <c r="D20" s="68">
        <f>SUM(E20:Q20)</f>
        <v>12829.13096256</v>
      </c>
      <c r="E20" s="69">
        <f>E11+E18</f>
        <v>0</v>
      </c>
      <c r="F20" s="68">
        <f>F11+F18</f>
        <v>1119.09159316805</v>
      </c>
      <c r="G20" s="68">
        <f t="shared" ref="G20:AI20" si="6">G11+G18</f>
        <v>1152.66434096309</v>
      </c>
      <c r="H20" s="68">
        <f t="shared" si="6"/>
        <v>1187.24427119198</v>
      </c>
      <c r="I20" s="68">
        <f t="shared" si="6"/>
        <v>1222.86159932774</v>
      </c>
      <c r="J20" s="68">
        <f t="shared" si="6"/>
        <v>1259.54744730757</v>
      </c>
      <c r="K20" s="68">
        <f t="shared" si="6"/>
        <v>1297.3338707268</v>
      </c>
      <c r="L20" s="68">
        <f t="shared" si="6"/>
        <v>1336.2538868486</v>
      </c>
      <c r="M20" s="68">
        <f t="shared" si="6"/>
        <v>1376.34150345406</v>
      </c>
      <c r="N20" s="68">
        <f t="shared" si="6"/>
        <v>1417.63174855768</v>
      </c>
      <c r="O20" s="68">
        <f t="shared" si="6"/>
        <v>1460.16070101441</v>
      </c>
      <c r="P20" s="68">
        <f t="shared" si="6"/>
        <v>-3.8198777474463e-13</v>
      </c>
      <c r="Q20" s="68">
        <f t="shared" si="6"/>
        <v>-3.93447407986969e-13</v>
      </c>
    </row>
  </sheetData>
  <mergeCells count="8">
    <mergeCell ref="B3:Q3"/>
    <mergeCell ref="F4:Q4"/>
    <mergeCell ref="B19:C19"/>
    <mergeCell ref="B20:C20"/>
    <mergeCell ref="B4:B5"/>
    <mergeCell ref="B12:B13"/>
    <mergeCell ref="C4:C5"/>
    <mergeCell ref="D4:D5"/>
  </mergeCells>
  <pageMargins left="0.75" right="0.75" top="1" bottom="1" header="0.509027777777778" footer="0.509027777777778"/>
  <pageSetup paperSize="9" orientation="portrait" verticalDpi="1200"/>
  <headerFooter/>
  <ignoredErrors>
    <ignoredError sqref="D12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7" tint="0.799768059327982"/>
  </sheetPr>
  <dimension ref="B3:HQ28"/>
  <sheetViews>
    <sheetView workbookViewId="0">
      <pane xSplit="4" ySplit="7" topLeftCell="E8" activePane="bottomRight" state="frozen"/>
      <selection/>
      <selection pane="topRight"/>
      <selection pane="bottomLeft"/>
      <selection pane="bottomRight" activeCell="F15" sqref="F15"/>
    </sheetView>
  </sheetViews>
  <sheetFormatPr defaultColWidth="8.58333333333333" defaultRowHeight="15"/>
  <cols>
    <col min="1" max="2" width="7.5" style="1" customWidth="1"/>
    <col min="3" max="3" width="31.9" style="1" customWidth="1"/>
    <col min="4" max="4" width="10.1" style="1" customWidth="1"/>
    <col min="5" max="5" width="12.3333333333333" style="1" customWidth="1"/>
    <col min="6" max="17" width="9.83333333333333" style="1" customWidth="1"/>
    <col min="18" max="201" width="8.58333333333333" style="1" customWidth="1"/>
    <col min="202" max="221" width="9" style="1" customWidth="1"/>
    <col min="222" max="16384" width="8.58333333333333" style="2"/>
  </cols>
  <sheetData>
    <row r="3" ht="23" spans="2:225">
      <c r="B3" s="3" t="s">
        <v>685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23.75" spans="2:2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18" customHeight="1" spans="2:225">
      <c r="B5" s="5" t="s">
        <v>2</v>
      </c>
      <c r="C5" s="6" t="s">
        <v>686</v>
      </c>
      <c r="D5" s="6" t="s">
        <v>115</v>
      </c>
      <c r="E5" s="7" t="s">
        <v>75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ht="18" customHeight="1" spans="2:225">
      <c r="B6" s="10"/>
      <c r="C6" s="11"/>
      <c r="D6" s="11"/>
      <c r="E6" s="12" t="s">
        <v>77</v>
      </c>
      <c r="F6" s="13" t="s">
        <v>78</v>
      </c>
      <c r="G6" s="13" t="s">
        <v>79</v>
      </c>
      <c r="H6" s="13" t="s">
        <v>80</v>
      </c>
      <c r="I6" s="13" t="s">
        <v>81</v>
      </c>
      <c r="J6" s="13" t="s">
        <v>82</v>
      </c>
      <c r="K6" s="13" t="s">
        <v>83</v>
      </c>
      <c r="L6" s="13" t="s">
        <v>84</v>
      </c>
      <c r="M6" s="13" t="s">
        <v>85</v>
      </c>
      <c r="N6" s="13" t="s">
        <v>86</v>
      </c>
      <c r="O6" s="13" t="s">
        <v>87</v>
      </c>
      <c r="P6" s="13" t="s">
        <v>88</v>
      </c>
      <c r="Q6" s="14" t="s">
        <v>89</v>
      </c>
    </row>
    <row r="7" ht="22.15" customHeight="1" spans="2:225">
      <c r="B7" s="15">
        <v>1</v>
      </c>
      <c r="C7" s="16" t="s">
        <v>511</v>
      </c>
      <c r="D7" s="17">
        <f>SUM(E7:Q7)</f>
        <v>13791.4661202564</v>
      </c>
      <c r="E7" s="18"/>
      <c r="F7" s="19">
        <f>IF(输入参数!$E$23="直线折旧",F21,手动输入参数表!D14)</f>
        <v>1149.2888433547</v>
      </c>
      <c r="G7" s="19">
        <f>IF(输入参数!$E$23="直线折旧",G21,手动输入参数表!E14)</f>
        <v>1149.2888433547</v>
      </c>
      <c r="H7" s="19">
        <f>IF(输入参数!$E$23="直线折旧",H21,手动输入参数表!F14)</f>
        <v>1149.2888433547</v>
      </c>
      <c r="I7" s="19">
        <f>IF(输入参数!$E$23="直线折旧",I21,手动输入参数表!G14)</f>
        <v>1149.2888433547</v>
      </c>
      <c r="J7" s="19">
        <f>IF(输入参数!$E$23="直线折旧",J21,手动输入参数表!H14)</f>
        <v>1149.2888433547</v>
      </c>
      <c r="K7" s="19">
        <f>IF(输入参数!$E$23="直线折旧",K21,手动输入参数表!I14)</f>
        <v>1149.2888433547</v>
      </c>
      <c r="L7" s="19">
        <f>IF(输入参数!$E$23="直线折旧",L21,手动输入参数表!J14)</f>
        <v>1149.2888433547</v>
      </c>
      <c r="M7" s="19">
        <f>IF(输入参数!$E$23="直线折旧",M21,手动输入参数表!K14)</f>
        <v>1149.2888433547</v>
      </c>
      <c r="N7" s="19">
        <f>IF(输入参数!$E$23="直线折旧",N21,手动输入参数表!L14)</f>
        <v>1149.2888433547</v>
      </c>
      <c r="O7" s="19">
        <f>IF(输入参数!$E$23="直线折旧",O21,手动输入参数表!M14)</f>
        <v>1149.2888433547</v>
      </c>
      <c r="P7" s="19">
        <f>IF(输入参数!$E$23="直线折旧",P21,手动输入参数表!N14)</f>
        <v>1149.2888433547</v>
      </c>
      <c r="Q7" s="20">
        <f>IF(输入参数!$E$23="直线折旧",Q21,手动输入参数表!O14)</f>
        <v>1149.2888433547</v>
      </c>
    </row>
    <row r="8" ht="22.15" customHeight="1" spans="2:225">
      <c r="B8" s="15">
        <v>2</v>
      </c>
      <c r="C8" s="16" t="s">
        <v>42</v>
      </c>
      <c r="D8" s="17">
        <f t="shared" ref="D7:D14" si="0">SUM(E8:Q8)</f>
        <v>1086.11958492143</v>
      </c>
      <c r="E8" s="18"/>
      <c r="F8" s="21">
        <f>运维费!C20</f>
        <v>78.3490183518592</v>
      </c>
      <c r="G8" s="21">
        <f>运维费!D20</f>
        <v>84.186272939824</v>
      </c>
      <c r="H8" s="21">
        <f>运维费!E20</f>
        <v>84.186272939824</v>
      </c>
      <c r="I8" s="21">
        <f>运维费!F20</f>
        <v>84.186272939824</v>
      </c>
      <c r="J8" s="21">
        <f>运维费!G20</f>
        <v>90.0235275277888</v>
      </c>
      <c r="K8" s="21">
        <f>运维费!H20</f>
        <v>90.0235275277888</v>
      </c>
      <c r="L8" s="21">
        <f>运维费!I20</f>
        <v>90.0235275277888</v>
      </c>
      <c r="M8" s="21">
        <f>运维费!J20</f>
        <v>90.0235275277888</v>
      </c>
      <c r="N8" s="21">
        <f>运维费!K20</f>
        <v>98.779409409736</v>
      </c>
      <c r="O8" s="21">
        <f>运维费!L20</f>
        <v>98.779409409736</v>
      </c>
      <c r="P8" s="21">
        <f>运维费!M20</f>
        <v>98.779409409736</v>
      </c>
      <c r="Q8" s="22">
        <f>运维费!N20</f>
        <v>98.779409409736</v>
      </c>
    </row>
    <row r="9" ht="22.15" customHeight="1" spans="2:225">
      <c r="B9" s="23">
        <v>3</v>
      </c>
      <c r="C9" s="24" t="s">
        <v>313</v>
      </c>
      <c r="D9" s="17">
        <f t="shared" si="0"/>
        <v>1873.34790212319</v>
      </c>
      <c r="E9" s="18"/>
      <c r="F9" s="25">
        <f>输入参数!E29*输入参数!E30</f>
        <v>132</v>
      </c>
      <c r="G9" s="25">
        <f>F9*1.03</f>
        <v>135.96</v>
      </c>
      <c r="H9" s="25">
        <f t="shared" ref="H9:Y9" si="1">G9*1.03</f>
        <v>140.0388</v>
      </c>
      <c r="I9" s="25">
        <f t="shared" si="1"/>
        <v>144.239964</v>
      </c>
      <c r="J9" s="25">
        <f t="shared" si="1"/>
        <v>148.56716292</v>
      </c>
      <c r="K9" s="25">
        <f t="shared" si="1"/>
        <v>153.0241778076</v>
      </c>
      <c r="L9" s="25">
        <f t="shared" si="1"/>
        <v>157.614903141828</v>
      </c>
      <c r="M9" s="25">
        <f t="shared" si="1"/>
        <v>162.343350236083</v>
      </c>
      <c r="N9" s="25">
        <f t="shared" si="1"/>
        <v>167.213650743165</v>
      </c>
      <c r="O9" s="25">
        <f t="shared" si="1"/>
        <v>172.23006026546</v>
      </c>
      <c r="P9" s="25">
        <f t="shared" si="1"/>
        <v>177.396962073424</v>
      </c>
      <c r="Q9" s="26">
        <f t="shared" si="1"/>
        <v>182.718870935627</v>
      </c>
    </row>
    <row r="10" ht="22.15" customHeight="1" spans="2:225">
      <c r="B10" s="15">
        <v>4</v>
      </c>
      <c r="C10" s="16" t="s">
        <v>687</v>
      </c>
      <c r="D10" s="17">
        <f t="shared" si="0"/>
        <v>322.622729257032</v>
      </c>
      <c r="E10" s="18"/>
      <c r="F10" s="25">
        <f>'表1-投资计划与资金筹措表'!D6*输入参数!E33</f>
        <v>24.0546205548</v>
      </c>
      <c r="G10" s="25">
        <f>F10*1.02</f>
        <v>24.535712965896</v>
      </c>
      <c r="H10" s="25">
        <f t="shared" ref="H10:Y10" si="2">G10*1.02</f>
        <v>25.0264272252139</v>
      </c>
      <c r="I10" s="25">
        <f t="shared" si="2"/>
        <v>25.5269557697182</v>
      </c>
      <c r="J10" s="25">
        <f t="shared" si="2"/>
        <v>26.0374948851126</v>
      </c>
      <c r="K10" s="25">
        <f t="shared" si="2"/>
        <v>26.5582447828148</v>
      </c>
      <c r="L10" s="25">
        <f t="shared" si="2"/>
        <v>27.0894096784711</v>
      </c>
      <c r="M10" s="25">
        <f t="shared" si="2"/>
        <v>27.6311978720405</v>
      </c>
      <c r="N10" s="25">
        <f t="shared" si="2"/>
        <v>28.1838218294813</v>
      </c>
      <c r="O10" s="25">
        <f t="shared" si="2"/>
        <v>28.747498266071</v>
      </c>
      <c r="P10" s="25">
        <f t="shared" si="2"/>
        <v>29.3224482313924</v>
      </c>
      <c r="Q10" s="26">
        <f t="shared" si="2"/>
        <v>29.9088971960202</v>
      </c>
    </row>
    <row r="11" s="1" customFormat="1" ht="22.15" customHeight="1" spans="2:225">
      <c r="B11" s="23">
        <v>5</v>
      </c>
      <c r="C11" s="16" t="s">
        <v>688</v>
      </c>
      <c r="D11" s="17">
        <f t="shared" si="0"/>
        <v>2210.52425788848</v>
      </c>
      <c r="E11" s="18"/>
      <c r="F11" s="19">
        <f>'表5-借款还本付息表'!F13</f>
        <v>384.8739288768</v>
      </c>
      <c r="G11" s="19">
        <f>'表5-借款还本付息表'!G13</f>
        <v>351.301181081759</v>
      </c>
      <c r="H11" s="19">
        <f>'表5-借款还本付息表'!H13</f>
        <v>316.721250852866</v>
      </c>
      <c r="I11" s="19">
        <f>'表5-借款还本付息表'!I13</f>
        <v>281.103922717107</v>
      </c>
      <c r="J11" s="19">
        <f>'表5-借款还本付息表'!J13</f>
        <v>244.418074737274</v>
      </c>
      <c r="K11" s="19">
        <f>'表5-借款还本付息表'!K13</f>
        <v>206.631651318047</v>
      </c>
      <c r="L11" s="19">
        <f>'表5-借款还本付息表'!L13</f>
        <v>167.711635196243</v>
      </c>
      <c r="M11" s="19">
        <f>'表5-借款还本付息表'!M13</f>
        <v>127.624018590785</v>
      </c>
      <c r="N11" s="19">
        <f>'表5-借款还本付息表'!N13</f>
        <v>86.3337734871633</v>
      </c>
      <c r="O11" s="19">
        <f>'表5-借款还本付息表'!O13</f>
        <v>43.8048210304328</v>
      </c>
      <c r="P11" s="19">
        <f>'表5-借款还本付息表'!P13</f>
        <v>3.8198777474463e-13</v>
      </c>
      <c r="Q11" s="20">
        <f>'表5-借款还本付息表'!Q13</f>
        <v>3.93447407986969e-13</v>
      </c>
      <c r="HN11" s="2"/>
      <c r="HO11" s="2"/>
      <c r="HP11" s="2"/>
      <c r="HQ11" s="2"/>
    </row>
    <row r="12" s="1" customFormat="1" ht="22.15" customHeight="1" spans="2:225">
      <c r="B12" s="23">
        <v>6</v>
      </c>
      <c r="C12" s="16" t="s">
        <v>689</v>
      </c>
      <c r="D12" s="17">
        <f t="shared" si="0"/>
        <v>422.4002112</v>
      </c>
      <c r="E12" s="18"/>
      <c r="F12" s="19">
        <f>输入参数!E36</f>
        <v>35.2000176</v>
      </c>
      <c r="G12" s="19">
        <f>F12</f>
        <v>35.2000176</v>
      </c>
      <c r="H12" s="19">
        <f t="shared" ref="H12:Q12" si="3">G12</f>
        <v>35.2000176</v>
      </c>
      <c r="I12" s="19">
        <f t="shared" si="3"/>
        <v>35.2000176</v>
      </c>
      <c r="J12" s="19">
        <f t="shared" si="3"/>
        <v>35.2000176</v>
      </c>
      <c r="K12" s="19">
        <f t="shared" si="3"/>
        <v>35.2000176</v>
      </c>
      <c r="L12" s="19">
        <f t="shared" si="3"/>
        <v>35.2000176</v>
      </c>
      <c r="M12" s="19">
        <f t="shared" si="3"/>
        <v>35.2000176</v>
      </c>
      <c r="N12" s="19">
        <f t="shared" si="3"/>
        <v>35.2000176</v>
      </c>
      <c r="O12" s="19">
        <f t="shared" si="3"/>
        <v>35.2000176</v>
      </c>
      <c r="P12" s="19">
        <f t="shared" si="3"/>
        <v>35.2000176</v>
      </c>
      <c r="Q12" s="19">
        <f t="shared" si="3"/>
        <v>35.2000176</v>
      </c>
      <c r="HN12" s="2"/>
      <c r="HO12" s="2"/>
      <c r="HP12" s="2"/>
      <c r="HQ12" s="2"/>
    </row>
    <row r="13" s="1" customFormat="1" ht="22.15" customHeight="1" spans="2:225">
      <c r="B13" s="23">
        <v>7</v>
      </c>
      <c r="C13" s="16" t="s">
        <v>690</v>
      </c>
      <c r="D13" s="17">
        <f t="shared" si="0"/>
        <v>15369.3000819672</v>
      </c>
      <c r="E13" s="18"/>
      <c r="F13" s="25">
        <f>SUM(F14:F15)</f>
        <v>1383.87245901639</v>
      </c>
      <c r="G13" s="25">
        <f t="shared" ref="F13:Y13" si="4">SUM(G14:G15)</f>
        <v>1357.98368852459</v>
      </c>
      <c r="H13" s="25">
        <f t="shared" si="4"/>
        <v>1334.44844262295</v>
      </c>
      <c r="I13" s="25">
        <f t="shared" si="4"/>
        <v>1317.18926229508</v>
      </c>
      <c r="J13" s="25">
        <f t="shared" si="4"/>
        <v>1297.57655737705</v>
      </c>
      <c r="K13" s="25">
        <f t="shared" si="4"/>
        <v>1283.45540983606</v>
      </c>
      <c r="L13" s="25">
        <f t="shared" si="4"/>
        <v>1266.1962295082</v>
      </c>
      <c r="M13" s="25">
        <f t="shared" si="4"/>
        <v>1253.64409836066</v>
      </c>
      <c r="N13" s="25">
        <f t="shared" si="4"/>
        <v>1236.38491803279</v>
      </c>
      <c r="O13" s="25">
        <f t="shared" si="4"/>
        <v>1226.18631147541</v>
      </c>
      <c r="P13" s="25">
        <f t="shared" si="4"/>
        <v>1211.28065573771</v>
      </c>
      <c r="Q13" s="26">
        <f t="shared" si="4"/>
        <v>1201.08204918033</v>
      </c>
      <c r="HN13" s="2"/>
      <c r="HO13" s="2"/>
      <c r="HP13" s="2"/>
      <c r="HQ13" s="2"/>
    </row>
    <row r="14" s="1" customFormat="1" ht="22.15" customHeight="1" spans="2:225">
      <c r="B14" s="27">
        <v>7.1</v>
      </c>
      <c r="C14" s="28" t="s">
        <v>61</v>
      </c>
      <c r="D14" s="17">
        <f t="shared" si="0"/>
        <v>0</v>
      </c>
      <c r="E14" s="18"/>
      <c r="F14" s="25">
        <f>输入参数!E32</f>
        <v>0</v>
      </c>
      <c r="G14" s="25">
        <f>F14*(1+0%)</f>
        <v>0</v>
      </c>
      <c r="H14" s="25">
        <f t="shared" ref="H14:Q14" si="5">G14</f>
        <v>0</v>
      </c>
      <c r="I14" s="25">
        <f t="shared" si="5"/>
        <v>0</v>
      </c>
      <c r="J14" s="25">
        <f t="shared" si="5"/>
        <v>0</v>
      </c>
      <c r="K14" s="25">
        <f t="shared" si="5"/>
        <v>0</v>
      </c>
      <c r="L14" s="25">
        <f t="shared" si="5"/>
        <v>0</v>
      </c>
      <c r="M14" s="25">
        <f t="shared" si="5"/>
        <v>0</v>
      </c>
      <c r="N14" s="25">
        <f t="shared" si="5"/>
        <v>0</v>
      </c>
      <c r="O14" s="25">
        <f t="shared" si="5"/>
        <v>0</v>
      </c>
      <c r="P14" s="25">
        <f t="shared" si="5"/>
        <v>0</v>
      </c>
      <c r="Q14" s="26">
        <f t="shared" si="5"/>
        <v>0</v>
      </c>
      <c r="HN14" s="2"/>
      <c r="HO14" s="2"/>
      <c r="HP14" s="2"/>
      <c r="HQ14" s="2"/>
    </row>
    <row r="15" s="1" customFormat="1" ht="22.15" customHeight="1" spans="2:225">
      <c r="B15" s="27">
        <v>7.2</v>
      </c>
      <c r="C15" s="28" t="s">
        <v>691</v>
      </c>
      <c r="D15" s="17">
        <f>SUM(J15:Q15)</f>
        <v>9975.8062295082</v>
      </c>
      <c r="E15" s="18"/>
      <c r="F15" s="25">
        <f>手动输入参数表!D32</f>
        <v>1383.87245901639</v>
      </c>
      <c r="G15" s="25">
        <f>手动输入参数表!E32</f>
        <v>1357.98368852459</v>
      </c>
      <c r="H15" s="25">
        <f>手动输入参数表!F32</f>
        <v>1334.44844262295</v>
      </c>
      <c r="I15" s="25">
        <f>手动输入参数表!G32</f>
        <v>1317.18926229508</v>
      </c>
      <c r="J15" s="25">
        <f>手动输入参数表!H32</f>
        <v>1297.57655737705</v>
      </c>
      <c r="K15" s="25">
        <f>手动输入参数表!I32</f>
        <v>1283.45540983606</v>
      </c>
      <c r="L15" s="25">
        <f>手动输入参数表!J32</f>
        <v>1266.1962295082</v>
      </c>
      <c r="M15" s="25">
        <f>手动输入参数表!K32</f>
        <v>1253.64409836066</v>
      </c>
      <c r="N15" s="25">
        <f>手动输入参数表!L32</f>
        <v>1236.38491803279</v>
      </c>
      <c r="O15" s="25">
        <f>手动输入参数表!M32</f>
        <v>1226.18631147541</v>
      </c>
      <c r="P15" s="25">
        <f>手动输入参数表!N32</f>
        <v>1211.28065573771</v>
      </c>
      <c r="Q15" s="26">
        <f>手动输入参数表!O32</f>
        <v>1201.08204918033</v>
      </c>
      <c r="HN15" s="2"/>
      <c r="HO15" s="2"/>
      <c r="HP15" s="2"/>
      <c r="HQ15" s="2"/>
    </row>
    <row r="16" ht="22.15" customHeight="1" spans="2:225">
      <c r="B16" s="15" t="s">
        <v>135</v>
      </c>
      <c r="C16" s="16" t="s">
        <v>692</v>
      </c>
      <c r="D16" s="17">
        <f>SUM(E16:Q16)</f>
        <v>35075.7808876138</v>
      </c>
      <c r="E16" s="18"/>
      <c r="F16" s="19">
        <f>F7+F9+F11+F13+F8+F10+F12</f>
        <v>3187.63888775456</v>
      </c>
      <c r="G16" s="19">
        <f t="shared" ref="F16:Q16" si="6">G7+G9+G11+G13+G8+G10+G12</f>
        <v>3138.45571646677</v>
      </c>
      <c r="H16" s="19">
        <f t="shared" si="6"/>
        <v>3084.91005459556</v>
      </c>
      <c r="I16" s="19">
        <f t="shared" si="6"/>
        <v>3036.73523867643</v>
      </c>
      <c r="J16" s="19">
        <f t="shared" si="6"/>
        <v>2991.11167840193</v>
      </c>
      <c r="K16" s="19">
        <f t="shared" si="6"/>
        <v>2944.18187222702</v>
      </c>
      <c r="L16" s="19">
        <f t="shared" si="6"/>
        <v>2893.12456600723</v>
      </c>
      <c r="M16" s="19">
        <f t="shared" si="6"/>
        <v>2845.75505354206</v>
      </c>
      <c r="N16" s="19">
        <f t="shared" si="6"/>
        <v>2801.38443445704</v>
      </c>
      <c r="O16" s="19">
        <f t="shared" si="6"/>
        <v>2754.23696140181</v>
      </c>
      <c r="P16" s="19">
        <f t="shared" si="6"/>
        <v>2701.26833640696</v>
      </c>
      <c r="Q16" s="20">
        <f t="shared" si="6"/>
        <v>2696.97808767642</v>
      </c>
    </row>
    <row r="17" s="1" customFormat="1" ht="22.15" customHeight="1" spans="2:17">
      <c r="B17" s="29" t="s">
        <v>137</v>
      </c>
      <c r="C17" s="30" t="s">
        <v>648</v>
      </c>
      <c r="D17" s="31">
        <f>SUM(E17:Q17)</f>
        <v>19073.7905094689</v>
      </c>
      <c r="E17" s="32"/>
      <c r="F17" s="33">
        <f>F16-F7-F11</f>
        <v>1653.47611552305</v>
      </c>
      <c r="G17" s="33">
        <f>G16-G7-G11</f>
        <v>1637.86569203031</v>
      </c>
      <c r="H17" s="33">
        <f>H16-H7-H11</f>
        <v>1618.89996038799</v>
      </c>
      <c r="I17" s="33">
        <f t="shared" ref="I17:Y17" si="7">I16-I7-I11</f>
        <v>1606.34247260462</v>
      </c>
      <c r="J17" s="33">
        <f t="shared" si="7"/>
        <v>1597.40476030995</v>
      </c>
      <c r="K17" s="33">
        <f t="shared" si="7"/>
        <v>1588.26137755427</v>
      </c>
      <c r="L17" s="33">
        <f t="shared" si="7"/>
        <v>1576.12408745628</v>
      </c>
      <c r="M17" s="33">
        <f t="shared" si="7"/>
        <v>1568.84219159657</v>
      </c>
      <c r="N17" s="33">
        <f t="shared" si="7"/>
        <v>1565.76181761517</v>
      </c>
      <c r="O17" s="33">
        <f t="shared" si="7"/>
        <v>1561.14329701668</v>
      </c>
      <c r="P17" s="33">
        <f t="shared" si="7"/>
        <v>1551.97949305226</v>
      </c>
      <c r="Q17" s="34">
        <f t="shared" si="7"/>
        <v>1547.68924432171</v>
      </c>
    </row>
    <row r="18" ht="32.25" customHeight="1" spans="2:17">
      <c r="B18" s="35"/>
      <c r="C18" s="35"/>
      <c r="D18" s="35"/>
      <c r="E18" s="35"/>
      <c r="F18" s="36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</row>
    <row r="20" spans="2:17">
      <c r="C20" s="37" t="s">
        <v>693</v>
      </c>
      <c r="D20" s="38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 spans="2:17">
      <c r="C21" s="38" t="s">
        <v>694</v>
      </c>
      <c r="D21" s="38">
        <f>'表2-利润与利润分配表'!D46</f>
        <v>14593.136469912</v>
      </c>
      <c r="E21" s="39" t="s">
        <v>695</v>
      </c>
      <c r="F21" s="40">
        <f>D21*0.95/20</f>
        <v>693.17398232082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spans="2:17">
      <c r="C22" s="38" t="s">
        <v>696</v>
      </c>
      <c r="D22" s="41">
        <f>输入参数!E22</f>
        <v>1443.277233288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4" spans="2:17">
      <c r="F24" s="1">
        <v>0.2</v>
      </c>
      <c r="G24" s="1">
        <f>F24*1.02</f>
        <v>0.204</v>
      </c>
      <c r="H24" s="1">
        <f t="shared" ref="H24:Y24" si="8">G24*1.02</f>
        <v>0.20808</v>
      </c>
      <c r="I24" s="1">
        <f t="shared" si="8"/>
        <v>0.2122416</v>
      </c>
      <c r="J24" s="1">
        <f t="shared" si="8"/>
        <v>0.216486432</v>
      </c>
      <c r="K24" s="1">
        <f t="shared" si="8"/>
        <v>0.22081616064</v>
      </c>
      <c r="L24" s="1">
        <f t="shared" si="8"/>
        <v>0.2252324838528</v>
      </c>
      <c r="M24" s="1">
        <f t="shared" si="8"/>
        <v>0.229737133529856</v>
      </c>
      <c r="N24" s="1">
        <f t="shared" si="8"/>
        <v>0.234331876200453</v>
      </c>
      <c r="O24" s="1">
        <f t="shared" si="8"/>
        <v>0.239018513724462</v>
      </c>
      <c r="P24" s="1">
        <f t="shared" si="8"/>
        <v>0.243798883998951</v>
      </c>
      <c r="Q24" s="1">
        <f t="shared" si="8"/>
        <v>0.24867486167893</v>
      </c>
    </row>
    <row r="28" spans="2:17">
      <c r="E28" s="42"/>
    </row>
  </sheetData>
  <mergeCells count="5">
    <mergeCell ref="B3:Q3"/>
    <mergeCell ref="F5:Q5"/>
    <mergeCell ref="B5:B6"/>
    <mergeCell ref="C5:C6"/>
    <mergeCell ref="D5:D6"/>
  </mergeCells>
  <pageMargins left="0.75" right="0.75" top="1" bottom="1" header="0.509027777777778" footer="0.509027777777778"/>
  <pageSetup paperSize="9" orientation="portrait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输入参数</vt:lpstr>
      <vt:lpstr>手动输入参数表</vt:lpstr>
      <vt:lpstr>分类折旧</vt:lpstr>
      <vt:lpstr>参数汇总表</vt:lpstr>
      <vt:lpstr>静态总投</vt:lpstr>
      <vt:lpstr>财务指标及评价</vt:lpstr>
      <vt:lpstr>交易电价</vt:lpstr>
      <vt:lpstr>运维费</vt:lpstr>
      <vt:lpstr>其他费用计算</vt:lpstr>
      <vt:lpstr>人工成本</vt:lpstr>
      <vt:lpstr>表1-投资计划与资金筹措表</vt:lpstr>
      <vt:lpstr>表2-利润与利润分配表</vt:lpstr>
      <vt:lpstr>表3-项目现金流量表</vt:lpstr>
      <vt:lpstr>表4-资本金现金流量表</vt:lpstr>
      <vt:lpstr>表5-借款还本付息表</vt:lpstr>
      <vt:lpstr>表6-运营成本费用表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Jinkin</cp:lastModifiedBy>
  <cp:revision>1</cp:revision>
  <dcterms:created xsi:type="dcterms:W3CDTF">2016-05-04T02:34:00Z</dcterms:created>
  <dcterms:modified xsi:type="dcterms:W3CDTF">2025-11-26T07:48:32Z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689E2EEC299C420B9F9AC803C0C1CB38_13</vt:lpwstr>
  </property>
</Properties>
</file>